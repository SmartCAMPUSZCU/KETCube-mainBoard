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kumenty\Projekty\Demcak\LoRa transceiver\Project Outputs for PCB_Project1\REV_B_ASM\"/>
    </mc:Choice>
  </mc:AlternateContent>
  <xr:revisionPtr revIDLastSave="0" documentId="8_{AA32FC0E-C654-464C-B70A-B309076D0362}" xr6:coauthVersionLast="46" xr6:coauthVersionMax="46" xr10:uidLastSave="{00000000-0000-0000-0000-000000000000}"/>
  <bookViews>
    <workbookView xWindow="30390" yWindow="660" windowWidth="21600" windowHeight="11715" xr2:uid="{00000000-000D-0000-FFFF-FFFF00000000}"/>
  </bookViews>
  <sheets>
    <sheet name="BOM Report" sheetId="1" r:id="rId1"/>
    <sheet name="Project Information" sheetId="2" r:id="rId2"/>
  </sheets>
  <definedNames>
    <definedName name="_xlnm.Print_Area" localSheetId="0">'BOM Report'!$A:$K</definedName>
    <definedName name="_xlnm.Print_Titles" localSheetId="0">'BOM Report'!$15:$15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" l="1"/>
  <c r="A10" i="1" l="1"/>
  <c r="A8" i="1"/>
  <c r="J3" i="1" l="1"/>
  <c r="E3" i="1" l="1"/>
  <c r="J4" i="1" l="1"/>
  <c r="H6" i="1" l="1"/>
  <c r="H7" i="1" s="1"/>
  <c r="G6" i="1"/>
  <c r="G7" i="1" s="1"/>
  <c r="G4" i="1"/>
  <c r="G3" i="1"/>
  <c r="G1" i="1"/>
  <c r="E1" i="1"/>
  <c r="E2" i="1"/>
  <c r="E5" i="1"/>
  <c r="E4" i="1"/>
  <c r="G5" i="1" l="1"/>
</calcChain>
</file>

<file path=xl/sharedStrings.xml><?xml version="1.0" encoding="utf-8"?>
<sst xmlns="http://schemas.openxmlformats.org/spreadsheetml/2006/main" count="534" uniqueCount="276">
  <si>
    <t>Title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</si>
  <si>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</si>
  <si>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</si>
  <si>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</si>
  <si>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</si>
  <si>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</si>
  <si>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</si>
  <si>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</si>
  <si>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</si>
  <si>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</si>
  <si>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</si>
  <si>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Output Type</t>
  </si>
  <si>
    <t>Output Generator Name</t>
  </si>
  <si>
    <t>Output Generator Description</t>
  </si>
  <si>
    <t>PCB author:</t>
  </si>
  <si>
    <t>BOM number</t>
  </si>
  <si>
    <t>PCB number</t>
  </si>
  <si>
    <t>SCH number</t>
  </si>
  <si>
    <t>ASS number</t>
  </si>
  <si>
    <t>BOM revision</t>
  </si>
  <si>
    <t>PCB revision</t>
  </si>
  <si>
    <t>SCH revision</t>
  </si>
  <si>
    <t>ASS revision</t>
  </si>
  <si>
    <t>Regional Innovation Centre for Electrical Engineering</t>
  </si>
  <si>
    <t>Type</t>
  </si>
  <si>
    <t>PCB checked</t>
  </si>
  <si>
    <t>PCB approved</t>
  </si>
  <si>
    <t>Date</t>
  </si>
  <si>
    <t>Time</t>
  </si>
  <si>
    <t>Univerzitni 8,   306 14 Plzen,  Czech Republic</t>
  </si>
  <si>
    <t>Releated documents</t>
  </si>
  <si>
    <t>Pick and Place</t>
  </si>
  <si>
    <t>Global revision</t>
  </si>
  <si>
    <t>Part Number</t>
  </si>
  <si>
    <t>MCH_000128</t>
  </si>
  <si>
    <t>MCH_000127</t>
  </si>
  <si>
    <t>CON_000512</t>
  </si>
  <si>
    <t>OSC_000032</t>
  </si>
  <si>
    <t>OSC_000031</t>
  </si>
  <si>
    <t>CAP_000643</t>
  </si>
  <si>
    <t>CAP_000417</t>
  </si>
  <si>
    <t>CAP_000560</t>
  </si>
  <si>
    <t>CAP_000513</t>
  </si>
  <si>
    <t>CAP_000642</t>
  </si>
  <si>
    <t>CAP_000639</t>
  </si>
  <si>
    <t>CAP_000641</t>
  </si>
  <si>
    <t>CAP_000640</t>
  </si>
  <si>
    <t>CAP_000514</t>
  </si>
  <si>
    <t>CAP_000625</t>
  </si>
  <si>
    <t>CAP_000450</t>
  </si>
  <si>
    <t>OPT_000081</t>
  </si>
  <si>
    <t>MCH_000050</t>
  </si>
  <si>
    <t>CON_000361</t>
  </si>
  <si>
    <t>CON_000370</t>
  </si>
  <si>
    <t>EMI_000000</t>
  </si>
  <si>
    <t>IND_000124</t>
  </si>
  <si>
    <t>IND_000052</t>
  </si>
  <si>
    <t>IND_000122</t>
  </si>
  <si>
    <t>IND_000123</t>
  </si>
  <si>
    <t>RES_000578</t>
  </si>
  <si>
    <t>RES_000871</t>
  </si>
  <si>
    <t>RES_000070</t>
  </si>
  <si>
    <t>RES_000097</t>
  </si>
  <si>
    <t>RES_000049</t>
  </si>
  <si>
    <t>SWI_000034</t>
  </si>
  <si>
    <t>ICS_001095</t>
  </si>
  <si>
    <t>Value</t>
  </si>
  <si>
    <t>BMI-S-203-F</t>
  </si>
  <si>
    <t>BMI-S-203-C</t>
  </si>
  <si>
    <t>RF2-145A-T-17-50-G-HDW</t>
  </si>
  <si>
    <t>32.00MHZ</t>
  </si>
  <si>
    <t>32,768kHz</t>
  </si>
  <si>
    <t>15.0p</t>
  </si>
  <si>
    <t>100n</t>
  </si>
  <si>
    <t>1.00u</t>
  </si>
  <si>
    <t>47.0p</t>
  </si>
  <si>
    <t>33.0p</t>
  </si>
  <si>
    <t>4.70p</t>
  </si>
  <si>
    <t>1.20p</t>
  </si>
  <si>
    <t>1.80p</t>
  </si>
  <si>
    <t>6.8p</t>
  </si>
  <si>
    <t>10.0u</t>
  </si>
  <si>
    <t>10.0n</t>
  </si>
  <si>
    <t>KPTD-1608LVSECK-J3-PF</t>
  </si>
  <si>
    <t>Fiducial</t>
  </si>
  <si>
    <t>SSQ-112-03-F-S</t>
  </si>
  <si>
    <t>2212S-08SG-85</t>
  </si>
  <si>
    <t>1000R</t>
  </si>
  <si>
    <t>33.0n</t>
  </si>
  <si>
    <t>5.6n</t>
  </si>
  <si>
    <t>10n</t>
  </si>
  <si>
    <t>6.20n</t>
  </si>
  <si>
    <t>10.0k</t>
  </si>
  <si>
    <t>EVQP7J01P</t>
  </si>
  <si>
    <t>SX1276</t>
  </si>
  <si>
    <t>Designator</t>
  </si>
  <si>
    <t>A1</t>
  </si>
  <si>
    <t>A2</t>
  </si>
  <si>
    <t>ANT_HF</t>
  </si>
  <si>
    <t>B1</t>
  </si>
  <si>
    <t>B2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</si>
  <si>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</si>
  <si>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</si>
  <si>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</si>
  <si>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</si>
  <si>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</si>
  <si>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</si>
  <si>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</si>
  <si>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</si>
  <si>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</si>
  <si>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C11</t>
  </si>
  <si>
    <t>C12</t>
  </si>
  <si>
    <t>C13</t>
  </si>
  <si>
    <t>C16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</si>
  <si>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</si>
  <si>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</si>
  <si>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</si>
  <si>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</si>
  <si>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</si>
  <si>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</si>
  <si>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</si>
  <si>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</si>
  <si>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</si>
  <si>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</si>
  <si>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</si>
  <si>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</si>
  <si>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</si>
  <si>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</si>
  <si>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</si>
  <si>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C36</t>
  </si>
  <si>
    <t>C44</t>
  </si>
  <si>
    <t>D1</t>
  </si>
  <si>
    <t>D2</t>
  </si>
  <si>
    <t>FID1</t>
  </si>
  <si>
    <t>FID2</t>
  </si>
  <si>
    <t>FID3</t>
  </si>
  <si>
    <t>FID4</t>
  </si>
  <si>
    <t>H2</t>
  </si>
  <si>
    <t>H3</t>
  </si>
  <si>
    <t>L1</t>
  </si>
  <si>
    <t>L2</t>
  </si>
  <si>
    <t>L3</t>
  </si>
  <si>
    <t>L4</t>
  </si>
  <si>
    <t>L5</t>
  </si>
  <si>
    <t>L6</t>
  </si>
  <si>
    <t>L12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</si>
  <si>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</si>
  <si>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</si>
  <si>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</si>
  <si>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</si>
  <si>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</si>
  <si>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</si>
  <si>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</si>
  <si>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</si>
  <si>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</si>
  <si>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</si>
  <si>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</si>
  <si>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</si>
  <si>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</si>
  <si>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</si>
  <si>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SW1</t>
  </si>
  <si>
    <t>SW2</t>
  </si>
  <si>
    <t>U1</t>
  </si>
  <si>
    <t>U3</t>
  </si>
  <si>
    <t>Description</t>
  </si>
  <si>
    <t>MCH SMT EMI Shield frame, 26.21mm X 26.21mm, 5.08 mm height</t>
  </si>
  <si>
    <t>MCH EMI Cover Shield for BMI-S-203-F, 26.21mm X 26.21mm, 5.08 mm height,</t>
  </si>
  <si>
    <t>CON SMA Female, pcb edge for panel, THT, 50 Ohm, 0 - 18 GHz</t>
  </si>
  <si>
    <t>Crystal - 32MHz; 10ppm, 10 pF, 80 Ohm;1.6 x 2 mm</t>
  </si>
  <si>
    <t>Crystal - ABS07-32,768kHz; 12,5PF; SMD; MAX 70 kOhm</t>
  </si>
  <si>
    <t>CAP CER 15pF 50V NPO 5% 0402</t>
  </si>
  <si>
    <t>CAP CER 100nF 25V X7R 10% 0402</t>
  </si>
  <si>
    <t>CAP CER 1.0uF 16V X7R 20% 0603</t>
  </si>
  <si>
    <t>CAP CER 47.0pF 50V COG 1% 0402</t>
  </si>
  <si>
    <t>CAP CER 33pF 50V NPO 5% 0402</t>
  </si>
  <si>
    <t>CAP CER 4.7pF 50V NPO ±0,25p 0402</t>
  </si>
  <si>
    <t>CAP CER 1.2pF 50V NPO ± 0,25pF 0402</t>
  </si>
  <si>
    <t>CAP CER 1.8pF 50V NPO ± 0,25pF 0402</t>
  </si>
  <si>
    <t>CAP CER 6.8pF 50V COG 0.5% 0402</t>
  </si>
  <si>
    <t>CAP CER 10.0u 10V X6S 20% 0603</t>
  </si>
  <si>
    <t>CAP CER 10.0nF 25V X7R 10% 0402</t>
  </si>
  <si>
    <t>OPT LED red 625nm 2mA 50mcd 1.8V 0603</t>
  </si>
  <si>
    <t>Fiducial local circle 0.8mm</t>
  </si>
  <si>
    <t>CON Receptacle 1x10 100 mils, leads length 10mm</t>
  </si>
  <si>
    <t>CON Receptacle 1x8 100 mils, hight 8.5mm</t>
  </si>
  <si>
    <t>EMI 0603 1000R/ 100MHz 300mA 0,6R</t>
  </si>
  <si>
    <t>IND 33nH 260mA, wire, 0402</t>
  </si>
  <si>
    <t>IND 5.6nH 300mA 200 mohm Multilayer 0402</t>
  </si>
  <si>
    <t>IND 10nH 500mA chip 0402</t>
  </si>
  <si>
    <t>IND 6,2nH 600mA chip 0402</t>
  </si>
  <si>
    <t>RES 0402 0.00R SMD thick film</t>
  </si>
  <si>
    <t>RES array 0804 100R 1% 200ppm SMD thick film</t>
  </si>
  <si>
    <t>RES 0603 750R 1% 100ppm SMD thick film</t>
  </si>
  <si>
    <t>RES 0603 10.0k 1% 100ppm SMD thick film</t>
  </si>
  <si>
    <t>RES 0603 100R 1% 100ppm SMD thick film</t>
  </si>
  <si>
    <t>SWI Tactile Switch SPST-NO Side Actuated Surface Mount, travel 0.-2 mm, Right Angle</t>
  </si>
  <si>
    <t>ICS transceiver 137 - 1020 MHz, FSK, GFSK, MSK, GMSK, LoRa and OOK modulation, out power 20dBm, sensitivity -148dBm</t>
  </si>
  <si>
    <t>IC MCU 32BIT 128KB FLASH 48LQFP</t>
  </si>
  <si>
    <t>Footprint</t>
  </si>
  <si>
    <t>sm_mch_shield_W261M_L261M_H51M</t>
  </si>
  <si>
    <t>sm_mch_ShieldCover_W267M_L267M_H20M</t>
  </si>
  <si>
    <t>SM_CON_SMA_F_EDGE_RF2145AT1750G</t>
  </si>
  <si>
    <t>sm_osc_402</t>
  </si>
  <si>
    <t>sm_osc_ABS07</t>
  </si>
  <si>
    <t>sm_cap_0402</t>
  </si>
  <si>
    <t>sm_cap_0603</t>
  </si>
  <si>
    <t>sm_opt_led0603_h37_opp</t>
  </si>
  <si>
    <t>SM_mch_FIDUCIAL_32</t>
  </si>
  <si>
    <t>TH_CON_REC1x12_PIT100_L400</t>
  </si>
  <si>
    <t>TH_CON_REC1x8_PIT100</t>
  </si>
  <si>
    <t>sm_emi_0603</t>
  </si>
  <si>
    <t>sm_ind_0402_ LQW15AN</t>
  </si>
  <si>
    <t>sm_ind_0402</t>
  </si>
  <si>
    <t>sm_res_0402</t>
  </si>
  <si>
    <t>sm_res_0804_ARRAY4</t>
  </si>
  <si>
    <t>sm_res_0603</t>
  </si>
  <si>
    <t>SM_SWI_EVQP7J</t>
  </si>
  <si>
    <t>SM_IO_QFN28N_pit26_w236</t>
  </si>
  <si>
    <t>FP-LQFP48-5B-MFG</t>
  </si>
  <si>
    <t>Center-X(Mil)</t>
  </si>
  <si>
    <t>Center-Y(Mil)</t>
  </si>
  <si>
    <t>Center-X(mm)</t>
  </si>
  <si>
    <t>Center-Y(mm)</t>
  </si>
  <si>
    <t>Layer</t>
  </si>
  <si>
    <t>Top</t>
  </si>
  <si>
    <t>Bottom</t>
  </si>
  <si>
    <t>Rotation</t>
  </si>
  <si>
    <t>Part Select</t>
  </si>
  <si>
    <t>SMCH0001001400010000</t>
  </si>
  <si>
    <t>SCON0008000000001500</t>
  </si>
  <si>
    <t>SOSC0003000000008320</t>
  </si>
  <si>
    <t>SOSC0003000000005327</t>
  </si>
  <si>
    <t>SCAP0001000200012150</t>
  </si>
  <si>
    <t>SCAP0001000200026100</t>
  </si>
  <si>
    <t>SCAP0001000300027100</t>
  </si>
  <si>
    <t>SCAP0001000200012220</t>
  </si>
  <si>
    <t>SCAP0001000200012330</t>
  </si>
  <si>
    <t>SCAP0001000200011470</t>
  </si>
  <si>
    <t>SCAP0001000200011120</t>
  </si>
  <si>
    <t>SCAP0001000200011180</t>
  </si>
  <si>
    <t>SCAP0001000200012470</t>
  </si>
  <si>
    <t>SCAP0001000300038100</t>
  </si>
  <si>
    <t>SOPT0001000100000000</t>
  </si>
  <si>
    <t>SMCH0002000200000000</t>
  </si>
  <si>
    <t>TCON0001000200022120</t>
  </si>
  <si>
    <t>TCON0001000200001800</t>
  </si>
  <si>
    <t>SEMI0001000000003000</t>
  </si>
  <si>
    <t>SIND0002000100002330</t>
  </si>
  <si>
    <t>SIND0002000100001200</t>
  </si>
  <si>
    <t>SIND0002000100002100</t>
  </si>
  <si>
    <t>SIND0002000100001620</t>
  </si>
  <si>
    <t>SRES0001000200003100</t>
  </si>
  <si>
    <t>SRES0002000400003100</t>
  </si>
  <si>
    <t>SRES0001000300003750</t>
  </si>
  <si>
    <t>SRES0001000300005100</t>
  </si>
  <si>
    <t>SRES0001000300003100</t>
  </si>
  <si>
    <t>SSWI0002000100000000</t>
  </si>
  <si>
    <t>SICS0002001700000000</t>
  </si>
  <si>
    <t>C:\Dokumenty\Projekty\Demcak\LoRa transceiver\LoRa transceiver.PrjPcb</t>
  </si>
  <si>
    <t>LoRa transceiver.PrjPcb</t>
  </si>
  <si>
    <t>Final</t>
  </si>
  <si>
    <t>Prototype</t>
  </si>
  <si>
    <t>68</t>
  </si>
  <si>
    <t>8:47</t>
  </si>
  <si>
    <t>5/28/2021</t>
  </si>
  <si>
    <t>5/28/2021 8:47</t>
  </si>
  <si>
    <t>BomReport</t>
  </si>
  <si>
    <t>BOM</t>
  </si>
  <si>
    <t>Bill of Materials</t>
  </si>
  <si>
    <t>Jiri Cengery</t>
  </si>
  <si>
    <t>LoTr_210422</t>
  </si>
  <si>
    <t>Jan Belohoubek</t>
  </si>
  <si>
    <t>Silvan Pretl</t>
  </si>
  <si>
    <t>1</t>
  </si>
  <si>
    <t>2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</si>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</sst>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9]dd\-mmm\-yy;@"/>
    <numFmt numFmtId="165" formatCode="[$-409]h:mm:ss\ AM/PM;@"/>
    <numFmt numFmtId="166" formatCode="h:mm:ss;@"/>
  </numFmts>
  <fonts count="17" x14ac:knownFonts="1">
    <font>
      <sz val="10"/>
      <name val="Arial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4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b/>
      <sz val="10"/>
      <color theme="0" tint="-0.249977111117893"/>
      <name val="Arial"/>
      <family val="2"/>
      <charset val="238"/>
    </font>
    <font>
      <b/>
      <sz val="11"/>
      <name val="Arial"/>
      <family val="2"/>
      <charset val="238"/>
    </font>
    <font>
      <b/>
      <sz val="12"/>
      <name val="Arial"/>
      <family val="2"/>
      <charset val="238"/>
    </font>
    <font>
      <b/>
      <sz val="11"/>
      <name val="Arial"/>
      <family val="2"/>
    </font>
    <font>
      <sz val="10"/>
      <color theme="0"/>
      <name val="Arial"/>
      <family val="2"/>
    </font>
    <font>
      <sz val="14"/>
      <name val="Arial"/>
      <family val="2"/>
      <charset val="238"/>
    </font>
    <font>
      <b/>
      <sz val="26"/>
      <name val="Arial"/>
      <family val="2"/>
      <charset val="238"/>
    </font>
    <font>
      <sz val="11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14" fontId="0" fillId="0" borderId="0" xfId="0" applyNumberFormat="1" applyBorder="1" applyAlignment="1"/>
    <xf numFmtId="0" fontId="0" fillId="0" borderId="0" xfId="0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3" borderId="4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6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16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horizontal="left"/>
    </xf>
    <xf numFmtId="14" fontId="0" fillId="0" borderId="10" xfId="0" applyNumberFormat="1" applyBorder="1" applyAlignment="1">
      <alignment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vertical="top"/>
    </xf>
    <xf numFmtId="0" fontId="0" fillId="0" borderId="0" xfId="0" applyFill="1" applyBorder="1" applyAlignment="1"/>
    <xf numFmtId="0" fontId="1" fillId="0" borderId="0" xfId="0" applyFont="1" applyFill="1" applyAlignment="1">
      <alignment vertical="center"/>
    </xf>
    <xf numFmtId="1" fontId="4" fillId="0" borderId="0" xfId="0" applyNumberFormat="1" applyFont="1" applyFill="1" applyBorder="1" applyAlignment="1">
      <alignment vertical="top"/>
    </xf>
    <xf numFmtId="1" fontId="0" fillId="0" borderId="0" xfId="0" applyNumberFormat="1" applyFill="1" applyBorder="1" applyAlignment="1">
      <alignment vertical="top"/>
    </xf>
    <xf numFmtId="0" fontId="0" fillId="0" borderId="0" xfId="0" applyFill="1" applyAlignment="1">
      <alignment vertical="top"/>
    </xf>
    <xf numFmtId="0" fontId="3" fillId="0" borderId="0" xfId="0" applyFont="1" applyBorder="1" applyAlignment="1">
      <alignment wrapText="1"/>
    </xf>
    <xf numFmtId="0" fontId="0" fillId="0" borderId="0" xfId="0" applyBorder="1" applyAlignment="1">
      <alignment wrapText="1"/>
    </xf>
    <xf numFmtId="0" fontId="0" fillId="0" borderId="11" xfId="0" applyBorder="1" applyAlignment="1">
      <alignment vertical="top" wrapText="1"/>
    </xf>
    <xf numFmtId="0" fontId="0" fillId="0" borderId="0" xfId="0" applyAlignment="1">
      <alignment vertical="top" wrapText="1"/>
    </xf>
    <xf numFmtId="0" fontId="4" fillId="0" borderId="16" xfId="0" applyFont="1" applyBorder="1" applyAlignment="1">
      <alignment vertical="top"/>
    </xf>
    <xf numFmtId="0" fontId="4" fillId="0" borderId="16" xfId="0" applyFont="1" applyBorder="1" applyAlignment="1">
      <alignment horizontal="left" vertical="top"/>
    </xf>
    <xf numFmtId="0" fontId="4" fillId="0" borderId="16" xfId="0" applyFont="1" applyBorder="1" applyAlignment="1">
      <alignment vertical="top" wrapText="1"/>
    </xf>
    <xf numFmtId="0" fontId="4" fillId="0" borderId="16" xfId="0" applyFont="1" applyBorder="1" applyAlignment="1">
      <alignment horizontal="left" vertical="top" wrapText="1"/>
    </xf>
    <xf numFmtId="165" fontId="0" fillId="0" borderId="0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0" fontId="8" fillId="0" borderId="0" xfId="0" applyFont="1" applyFill="1" applyBorder="1" applyAlignment="1"/>
    <xf numFmtId="0" fontId="9" fillId="0" borderId="0" xfId="0" applyFont="1" applyFill="1" applyAlignment="1">
      <alignment vertical="center"/>
    </xf>
    <xf numFmtId="1" fontId="8" fillId="0" borderId="0" xfId="0" applyNumberFormat="1" applyFont="1" applyFill="1" applyBorder="1" applyAlignment="1">
      <alignment vertical="top"/>
    </xf>
    <xf numFmtId="0" fontId="8" fillId="0" borderId="0" xfId="0" applyFont="1" applyFill="1" applyAlignment="1">
      <alignment vertical="top"/>
    </xf>
    <xf numFmtId="0" fontId="1" fillId="0" borderId="0" xfId="0" applyFont="1" applyBorder="1" applyAlignment="1"/>
    <xf numFmtId="49" fontId="1" fillId="0" borderId="0" xfId="0" applyNumberFormat="1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/>
    <xf numFmtId="0" fontId="6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wrapText="1"/>
    </xf>
    <xf numFmtId="0" fontId="4" fillId="0" borderId="0" xfId="0" applyFont="1" applyBorder="1" applyAlignment="1"/>
    <xf numFmtId="0" fontId="4" fillId="0" borderId="0" xfId="0" applyFont="1" applyFill="1" applyBorder="1" applyAlignment="1"/>
    <xf numFmtId="0" fontId="4" fillId="0" borderId="0" xfId="0" applyFont="1" applyAlignment="1"/>
    <xf numFmtId="14" fontId="13" fillId="0" borderId="0" xfId="0" applyNumberFormat="1" applyFont="1" applyBorder="1" applyAlignment="1"/>
    <xf numFmtId="22" fontId="13" fillId="0" borderId="0" xfId="0" applyNumberFormat="1" applyFont="1" applyBorder="1" applyAlignment="1"/>
    <xf numFmtId="0" fontId="13" fillId="0" borderId="0" xfId="0" applyFont="1" applyBorder="1" applyAlignment="1"/>
    <xf numFmtId="164" fontId="0" fillId="0" borderId="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49" fontId="6" fillId="0" borderId="0" xfId="0" applyNumberFormat="1" applyFont="1" applyBorder="1" applyAlignment="1">
      <alignment horizontal="left"/>
    </xf>
    <xf numFmtId="0" fontId="12" fillId="0" borderId="0" xfId="0" applyFont="1" applyBorder="1" applyAlignment="1"/>
    <xf numFmtId="0" fontId="0" fillId="0" borderId="14" xfId="0" applyBorder="1" applyAlignment="1"/>
    <xf numFmtId="0" fontId="2" fillId="3" borderId="16" xfId="0" applyFont="1" applyFill="1" applyBorder="1" applyAlignment="1">
      <alignment horizontal="left" vertical="center"/>
    </xf>
    <xf numFmtId="0" fontId="2" fillId="3" borderId="16" xfId="0" applyFont="1" applyFill="1" applyBorder="1" applyAlignment="1">
      <alignment vertical="center" wrapText="1"/>
    </xf>
    <xf numFmtId="0" fontId="3" fillId="0" borderId="0" xfId="0" applyFont="1" applyBorder="1" applyAlignment="1"/>
    <xf numFmtId="0" fontId="5" fillId="0" borderId="0" xfId="0" applyFont="1" applyBorder="1" applyAlignment="1"/>
    <xf numFmtId="0" fontId="6" fillId="0" borderId="0" xfId="0" applyFont="1" applyAlignment="1">
      <alignment vertical="top"/>
    </xf>
    <xf numFmtId="0" fontId="6" fillId="0" borderId="0" xfId="0" applyFont="1" applyBorder="1" applyAlignment="1"/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5" fillId="0" borderId="0" xfId="0" applyFont="1" applyBorder="1" applyAlignment="1">
      <alignment horizontal="left"/>
    </xf>
    <xf numFmtId="0" fontId="11" fillId="0" borderId="16" xfId="0" applyFont="1" applyBorder="1" applyAlignment="1"/>
    <xf numFmtId="0" fontId="0" fillId="0" borderId="16" xfId="0" applyBorder="1" applyAlignment="1"/>
    <xf numFmtId="0" fontId="5" fillId="0" borderId="16" xfId="0" applyFont="1" applyBorder="1" applyAlignment="1"/>
    <xf numFmtId="0" fontId="0" fillId="4" borderId="10" xfId="0" applyFill="1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1" xfId="0" applyBorder="1" applyAlignment="1"/>
    <xf numFmtId="0" fontId="0" fillId="0" borderId="0" xfId="0" applyAlignment="1"/>
    <xf numFmtId="0" fontId="0" fillId="0" borderId="2" xfId="0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12" fillId="0" borderId="17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8" xfId="0" applyBorder="1" applyAlignment="1">
      <alignment horizontal="left"/>
    </xf>
    <xf numFmtId="0" fontId="15" fillId="4" borderId="16" xfId="0" applyFont="1" applyFill="1" applyBorder="1" applyAlignment="1">
      <alignment horizontal="left" vertical="center"/>
    </xf>
    <xf numFmtId="0" fontId="7" fillId="4" borderId="16" xfId="0" applyFont="1" applyFill="1" applyBorder="1" applyAlignment="1">
      <alignment horizontal="left" vertical="center"/>
    </xf>
    <xf numFmtId="0" fontId="14" fillId="0" borderId="16" xfId="0" applyFont="1" applyBorder="1" applyAlignment="1"/>
    <xf numFmtId="0" fontId="11" fillId="4" borderId="16" xfId="0" applyFont="1" applyFill="1" applyBorder="1" applyAlignment="1"/>
    <xf numFmtId="0" fontId="10" fillId="0" borderId="16" xfId="0" applyFont="1" applyBorder="1" applyAlignment="1"/>
    <xf numFmtId="0" fontId="16" fillId="0" borderId="16" xfId="0" applyFont="1" applyBorder="1" applyAlignment="1"/>
    <xf numFmtId="0" fontId="5" fillId="0" borderId="16" xfId="0" applyNumberFormat="1" applyFont="1" applyBorder="1" applyAlignment="1"/>
    <xf numFmtId="0" fontId="0" fillId="0" borderId="16" xfId="0" applyNumberFormat="1" applyBorder="1" applyAlignment="1"/>
    <xf numFmtId="0" fontId="5" fillId="4" borderId="16" xfId="0" applyFont="1" applyFill="1" applyBorder="1" applyAlignment="1">
      <alignment wrapText="1"/>
    </xf>
    <xf numFmtId="0" fontId="5" fillId="4" borderId="16" xfId="0" applyFont="1" applyFill="1" applyBorder="1" applyAlignment="1"/>
    <xf numFmtId="0" fontId="5" fillId="0" borderId="16" xfId="0" applyFont="1" applyBorder="1" applyAlignment="1">
      <alignment wrapText="1"/>
    </xf>
    <xf numFmtId="0" fontId="0" fillId="3" borderId="5" xfId="0" quotePrefix="1" applyFill="1" applyBorder="1" applyAlignment="1">
      <alignment horizontal="left" vertical="center"/>
    </xf>
    <xf numFmtId="0" fontId="0" fillId="2" borderId="7" xfId="0" quotePrefix="1" applyFill="1" applyBorder="1" applyAlignment="1">
      <alignment horizontal="left" vertical="center"/>
    </xf>
    <xf numFmtId="0" fontId="6" fillId="3" borderId="7" xfId="0" quotePrefix="1" applyFont="1" applyFill="1" applyBorder="1" applyAlignment="1">
      <alignment horizontal="left" vertical="center"/>
    </xf>
    <xf numFmtId="0" fontId="0" fillId="3" borderId="7" xfId="0" quotePrefix="1" applyFill="1" applyBorder="1" applyAlignment="1">
      <alignment horizontal="left" vertical="center"/>
    </xf>
    <xf numFmtId="0" fontId="0" fillId="2" borderId="9" xfId="0" quotePrefix="1" applyFill="1" applyBorder="1" applyAlignment="1">
      <alignment horizontal="left" vertical="center"/>
    </xf>
    <xf numFmtId="0" fontId="6" fillId="2" borderId="7" xfId="0" quotePrefix="1" applyFont="1" applyFill="1" applyBorder="1" applyAlignment="1">
      <alignment horizontal="left" vertical="center"/>
    </xf>
    <xf numFmtId="0" fontId="0" fillId="0" borderId="14" xfId="0" quotePrefix="1" applyBorder="1" applyAlignment="1">
      <alignment horizontal="left"/>
    </xf>
    <xf numFmtId="0" fontId="6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30816</xdr:rowOff>
    </xdr:from>
    <xdr:to>
      <xdr:col>1</xdr:col>
      <xdr:colOff>773205</xdr:colOff>
      <xdr:row>2</xdr:row>
      <xdr:rowOff>381000</xdr:rowOff>
    </xdr:to>
    <xdr:pic>
      <xdr:nvPicPr>
        <xdr:cNvPr id="1026" name="obrázek 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9647" y="30816"/>
          <a:ext cx="1669676" cy="95530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235325</xdr:colOff>
      <xdr:row>0</xdr:row>
      <xdr:rowOff>212911</xdr:rowOff>
    </xdr:from>
    <xdr:to>
      <xdr:col>3</xdr:col>
      <xdr:colOff>2011110</xdr:colOff>
      <xdr:row>2</xdr:row>
      <xdr:rowOff>190500</xdr:rowOff>
    </xdr:to>
    <xdr:pic>
      <xdr:nvPicPr>
        <xdr:cNvPr id="3" name="Obrázek 1" descr="Logo_text_barva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20472" y="212911"/>
          <a:ext cx="2817932" cy="5827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>
    <pageSetUpPr fitToPage="1"/>
  </sheetPr>
  <dimension ref="A1:N85"/>
  <sheetViews>
    <sheetView showGridLines="0" tabSelected="1" zoomScale="85" zoomScaleNormal="85" workbookViewId="0">
      <selection activeCell="A11" sqref="A11"/>
    </sheetView>
  </sheetViews>
  <sheetFormatPr defaultRowHeight="12.75" x14ac:dyDescent="0.2"/>
  <cols>
    <col min="1" max="1" width="17.7109375" style="4" customWidth="1"/>
    <col min="2" max="2" width="15.140625" style="6" customWidth="1"/>
    <col min="3" max="3" width="15.5703125" style="6" customWidth="1"/>
    <col min="4" max="4" width="50.28515625" style="6" customWidth="1"/>
    <col min="5" max="5" width="34.5703125" style="29" customWidth="1"/>
    <col min="6" max="9" width="17.42578125" style="4" customWidth="1"/>
    <col min="10" max="10" width="17.28515625" style="4" customWidth="1"/>
    <col min="11" max="11" width="28.42578125" style="4" bestFit="1" customWidth="1"/>
    <col min="12" max="12" width="19.5703125" style="39" hidden="1" customWidth="1"/>
    <col min="13" max="13" width="10.5703125" style="25" customWidth="1"/>
    <col min="14" max="16384" width="9.140625" style="4"/>
  </cols>
  <sheetData>
    <row r="1" spans="1:14" ht="24" customHeight="1" x14ac:dyDescent="0.2">
      <c r="A1" s="70"/>
      <c r="B1" s="71"/>
      <c r="C1" s="71"/>
      <c r="D1" s="72"/>
      <c r="E1" s="90" t="str">
        <f>CONCATENATE("Date:        ",'Project Information'!B26)</f>
        <v>Date:        5/28/2021</v>
      </c>
      <c r="F1" s="68"/>
      <c r="G1" s="83" t="str">
        <f>CONCATENATE("Title     ",'Project Information'!B6)</f>
        <v>Title     Prototype</v>
      </c>
      <c r="H1" s="84"/>
      <c r="I1" s="68"/>
      <c r="J1" s="82" t="s">
        <v>31</v>
      </c>
      <c r="K1" s="68"/>
      <c r="L1" s="36"/>
      <c r="M1" s="21"/>
      <c r="N1" s="2"/>
    </row>
    <row r="2" spans="1:14" ht="24" customHeight="1" x14ac:dyDescent="0.2">
      <c r="A2" s="73"/>
      <c r="B2" s="74"/>
      <c r="C2" s="74"/>
      <c r="D2" s="75"/>
      <c r="E2" s="90" t="str">
        <f>CONCATENATE("Time:       ",'Project Information'!B27)</f>
        <v>Time:       8:47</v>
      </c>
      <c r="F2" s="68"/>
      <c r="G2" s="84"/>
      <c r="H2" s="84"/>
      <c r="I2" s="68"/>
      <c r="J2" s="82"/>
      <c r="K2" s="68"/>
      <c r="L2" s="36"/>
      <c r="M2" s="21"/>
      <c r="N2" s="2"/>
    </row>
    <row r="3" spans="1:14" ht="33.75" customHeight="1" x14ac:dyDescent="0.25">
      <c r="A3" s="76"/>
      <c r="B3" s="77"/>
      <c r="C3" s="77"/>
      <c r="D3" s="78"/>
      <c r="E3" s="91" t="str">
        <f>CONCATENATE("Author:             ",'Project Information'!B15)</f>
        <v>Author:             Jiri Cengery</v>
      </c>
      <c r="F3" s="68"/>
      <c r="G3" s="85" t="str">
        <f>CONCATENATE("Nr.  ",'Project Information'!B16)</f>
        <v>Nr.  LoTr_210422</v>
      </c>
      <c r="H3" s="68"/>
      <c r="I3" s="68"/>
      <c r="J3" s="67" t="str">
        <f>CONCATENATE("Revision:  ",'Project Information'!B29,'Project Information'!B22)</f>
        <v>Revision:  B1</v>
      </c>
      <c r="K3" s="68"/>
      <c r="L3" s="36"/>
      <c r="M3" s="21"/>
      <c r="N3" s="2"/>
    </row>
    <row r="4" spans="1:14" ht="24" customHeight="1" x14ac:dyDescent="0.25">
      <c r="A4" s="79" t="s">
        <v>23</v>
      </c>
      <c r="B4" s="80"/>
      <c r="C4" s="80"/>
      <c r="D4" s="81"/>
      <c r="E4" s="92" t="str">
        <f>CONCATENATE("Checked by:    ",'Project Information'!B17)</f>
        <v>Checked by:    Jan Belohoubek</v>
      </c>
      <c r="F4" s="68"/>
      <c r="G4" s="86" t="str">
        <f>CONCATENATE("Type:  ",'Project Information'!B28)</f>
        <v>Type:  Prototype</v>
      </c>
      <c r="H4" s="87"/>
      <c r="I4" s="87"/>
      <c r="J4" s="69" t="str">
        <f>CONCATENATE("Variant: ",'Project Information'!B3)</f>
        <v>Variant: Final</v>
      </c>
      <c r="K4" s="68"/>
      <c r="L4" s="36"/>
      <c r="M4" s="21"/>
      <c r="N4" s="2"/>
    </row>
    <row r="5" spans="1:14" ht="24" customHeight="1" x14ac:dyDescent="0.25">
      <c r="A5" s="79" t="s">
        <v>29</v>
      </c>
      <c r="B5" s="80"/>
      <c r="C5" s="80"/>
      <c r="D5" s="81"/>
      <c r="E5" s="92" t="str">
        <f>CONCATENATE("Approved by:   ",'Project Information'!B18)</f>
        <v>Approved by:   Silvan Pretl</v>
      </c>
      <c r="F5" s="68"/>
      <c r="G5" s="88" t="str">
        <f ca="1">CONCATENATE("Print date:    ", G7, "    ", H7)</f>
        <v>Print date:    28.05.rrrr    08:47:23</v>
      </c>
      <c r="H5" s="89"/>
      <c r="I5" s="68"/>
      <c r="J5" s="69"/>
      <c r="K5" s="68"/>
      <c r="L5" s="36"/>
      <c r="M5" s="21"/>
      <c r="N5" s="2"/>
    </row>
    <row r="6" spans="1:14" s="5" customFormat="1" ht="21.75" customHeight="1" x14ac:dyDescent="0.2">
      <c r="A6" s="40"/>
      <c r="B6" s="45"/>
      <c r="C6" s="41"/>
      <c r="D6" s="17"/>
      <c r="E6" s="46"/>
      <c r="F6" s="47"/>
      <c r="G6" s="50">
        <f ca="1">TODAY()</f>
        <v>44344</v>
      </c>
      <c r="H6" s="51">
        <f ca="1">NOW()</f>
        <v>44344.366239351853</v>
      </c>
      <c r="I6" s="47"/>
      <c r="J6" s="47"/>
      <c r="K6" s="47"/>
      <c r="L6" s="48"/>
      <c r="M6" s="48"/>
      <c r="N6" s="49"/>
    </row>
    <row r="7" spans="1:14" s="5" customFormat="1" ht="15" x14ac:dyDescent="0.25">
      <c r="A7" s="56" t="s">
        <v>30</v>
      </c>
      <c r="B7" s="45"/>
      <c r="C7" s="41"/>
      <c r="D7" s="17"/>
      <c r="F7" s="46"/>
      <c r="G7" s="52" t="str">
        <f ca="1">TEXT(G6,"dd.mm.rrrr")</f>
        <v>28.05.rrrr</v>
      </c>
      <c r="H7" s="52" t="str">
        <f ca="1">TEXT(H6,"hh:mm:ss")</f>
        <v>08:47:23</v>
      </c>
      <c r="I7" s="47"/>
      <c r="J7" s="47"/>
      <c r="K7" s="47"/>
      <c r="L7" s="48"/>
      <c r="M7" s="63"/>
      <c r="N7" s="49"/>
    </row>
    <row r="8" spans="1:14" s="5" customFormat="1" x14ac:dyDescent="0.2">
      <c r="A8" s="66" t="str">
        <f>CONCATENATE("Schematic:  ",'Project Information'!B20,'Project Information'!B29,'Project Information'!B24)</f>
        <v>Schematic:  LoTr_210422B2</v>
      </c>
      <c r="B8" s="66"/>
      <c r="C8" s="66"/>
      <c r="D8" s="61"/>
      <c r="E8" s="63"/>
      <c r="F8" s="63"/>
      <c r="G8" s="43"/>
      <c r="H8" s="47"/>
      <c r="I8" s="47"/>
      <c r="J8" s="47"/>
      <c r="K8" s="47"/>
      <c r="L8" s="48"/>
      <c r="M8" s="63"/>
      <c r="N8" s="49"/>
    </row>
    <row r="9" spans="1:14" s="5" customFormat="1" x14ac:dyDescent="0.2">
      <c r="A9" s="66" t="str">
        <f>CONCATENATE("PCB:              ",'Project Information'!B19,'Project Information'!B29,'Project Information'!B23)</f>
        <v>PCB:              LoTr_210422B1</v>
      </c>
      <c r="B9" s="66"/>
      <c r="C9" s="66"/>
      <c r="D9" s="61"/>
      <c r="E9" s="63"/>
      <c r="F9" s="63"/>
      <c r="G9" s="61"/>
      <c r="H9" s="40"/>
      <c r="I9" s="40"/>
      <c r="J9" s="40"/>
      <c r="K9" s="47"/>
      <c r="L9" s="48"/>
      <c r="M9" s="63"/>
      <c r="N9" s="49"/>
    </row>
    <row r="10" spans="1:14" s="5" customFormat="1" x14ac:dyDescent="0.2">
      <c r="A10" s="66" t="str">
        <f>CONCATENATE("Assembly:  ",'Project Information'!B21,'Project Information'!B29,'Project Information'!B22)</f>
        <v>Assembly:  LoTr_210422B1</v>
      </c>
      <c r="B10" s="66"/>
      <c r="C10" s="66"/>
      <c r="D10" s="61"/>
      <c r="E10" s="63"/>
      <c r="F10" s="63"/>
      <c r="G10" s="62"/>
      <c r="K10" s="40"/>
      <c r="L10" s="48"/>
      <c r="M10" s="48"/>
      <c r="N10" s="49"/>
    </row>
    <row r="11" spans="1:14" x14ac:dyDescent="0.2">
      <c r="A11" s="60"/>
      <c r="B11" s="42"/>
      <c r="C11" s="42"/>
      <c r="D11" s="42"/>
      <c r="E11" s="26"/>
      <c r="F11" s="43"/>
      <c r="G11" s="43"/>
      <c r="H11" s="3"/>
      <c r="I11" s="3"/>
      <c r="J11" s="3"/>
      <c r="K11" s="3"/>
      <c r="L11" s="36"/>
      <c r="M11" s="21"/>
      <c r="N11" s="1"/>
    </row>
    <row r="12" spans="1:14" x14ac:dyDescent="0.2">
      <c r="A12" s="3"/>
      <c r="B12" s="53"/>
      <c r="C12" s="54"/>
      <c r="D12" s="34"/>
      <c r="E12" s="26"/>
      <c r="F12" s="3"/>
      <c r="G12" s="3"/>
      <c r="H12" s="3"/>
      <c r="I12" s="3"/>
      <c r="J12" s="3"/>
      <c r="K12" s="3"/>
      <c r="L12" s="36"/>
      <c r="M12" s="21"/>
      <c r="N12" s="1"/>
    </row>
    <row r="13" spans="1:14" x14ac:dyDescent="0.2">
      <c r="A13" s="60"/>
      <c r="B13" s="42"/>
      <c r="C13" s="55"/>
      <c r="D13" s="35"/>
      <c r="E13" s="26"/>
      <c r="F13" s="3"/>
      <c r="G13" s="3"/>
      <c r="H13" s="3"/>
      <c r="I13" s="3"/>
      <c r="J13" s="3"/>
      <c r="K13" s="3"/>
      <c r="L13" s="36"/>
      <c r="M13" s="21"/>
      <c r="N13" s="2"/>
    </row>
    <row r="14" spans="1:14" ht="15.75" customHeight="1" x14ac:dyDescent="0.2">
      <c r="A14" s="57"/>
      <c r="B14" s="14"/>
      <c r="C14" s="14"/>
      <c r="D14" s="14"/>
      <c r="E14" s="27"/>
      <c r="F14" s="3"/>
      <c r="G14" s="3"/>
      <c r="H14" s="3"/>
      <c r="I14" s="3"/>
      <c r="J14" s="3"/>
      <c r="K14" s="3"/>
      <c r="L14" s="36"/>
      <c r="M14" s="21"/>
      <c r="N14" s="2"/>
    </row>
    <row r="15" spans="1:14" s="16" customFormat="1" ht="19.5" customHeight="1" x14ac:dyDescent="0.2">
      <c r="A15" s="15" t="s">
        <v>33</v>
      </c>
      <c r="B15" s="58" t="s">
        <v>66</v>
      </c>
      <c r="C15" s="58" t="s">
        <v>95</v>
      </c>
      <c r="D15" s="15" t="s">
        <v>164</v>
      </c>
      <c r="E15" s="59" t="s">
        <v>198</v>
      </c>
      <c r="F15" s="15" t="s">
        <v>219</v>
      </c>
      <c r="G15" s="15" t="s">
        <v>220</v>
      </c>
      <c r="H15" s="15" t="s">
        <v>221</v>
      </c>
      <c r="I15" s="15" t="s">
        <v>222</v>
      </c>
      <c r="J15" s="15" t="s">
        <v>223</v>
      </c>
      <c r="K15" s="15" t="s">
        <v>226</v>
      </c>
      <c r="L15" s="37" t="s">
        <v>227</v>
      </c>
      <c r="M15" s="22"/>
    </row>
    <row r="16" spans="1:14" s="5" customFormat="1" ht="25.5" x14ac:dyDescent="0.2">
      <c r="A16" s="30" t="s">
        <v>34</v>
      </c>
      <c r="B16" s="31" t="s">
        <v>67</v>
      </c>
      <c r="C16" s="31" t="s">
        <v>96</v>
      </c>
      <c r="D16" s="31" t="s">
        <v>165</v>
      </c>
      <c r="E16" s="32" t="s">
        <v>199</v>
      </c>
      <c r="F16" s="30">
        <v>673.42600000000004</v>
      </c>
      <c r="G16" s="30">
        <v>538.68100000000004</v>
      </c>
      <c r="H16" s="30">
        <v>17.105</v>
      </c>
      <c r="I16" s="30">
        <v>13.682</v>
      </c>
      <c r="J16" s="30" t="s">
        <v>224</v>
      </c>
      <c r="K16" s="30">
        <v>270</v>
      </c>
      <c r="L16" s="38" t="s">
        <v>228</v>
      </c>
      <c r="M16" s="23"/>
    </row>
    <row r="17" spans="1:13" s="5" customFormat="1" ht="25.5" x14ac:dyDescent="0.2">
      <c r="A17" s="30" t="s">
        <v>35</v>
      </c>
      <c r="B17" s="31" t="s">
        <v>68</v>
      </c>
      <c r="C17" s="31" t="s">
        <v>97</v>
      </c>
      <c r="D17" s="31" t="s">
        <v>166</v>
      </c>
      <c r="E17" s="33" t="s">
        <v>200</v>
      </c>
      <c r="F17" s="30">
        <v>-2773.9789999999998</v>
      </c>
      <c r="G17" s="30">
        <v>-2875.9679999999998</v>
      </c>
      <c r="H17" s="30">
        <v>-70.459000000000003</v>
      </c>
      <c r="I17" s="30">
        <v>-73.05</v>
      </c>
      <c r="J17" s="30" t="s">
        <v>224</v>
      </c>
      <c r="K17" s="30">
        <v>0</v>
      </c>
      <c r="L17" s="38" t="s">
        <v>228</v>
      </c>
      <c r="M17" s="23"/>
    </row>
    <row r="18" spans="1:13" s="5" customFormat="1" ht="25.5" x14ac:dyDescent="0.2">
      <c r="A18" s="30" t="s">
        <v>36</v>
      </c>
      <c r="B18" s="31" t="s">
        <v>69</v>
      </c>
      <c r="C18" s="31" t="s">
        <v>98</v>
      </c>
      <c r="D18" s="31" t="s">
        <v>167</v>
      </c>
      <c r="E18" s="32" t="s">
        <v>201</v>
      </c>
      <c r="F18" s="30">
        <v>1033.8589999999999</v>
      </c>
      <c r="G18" s="30">
        <v>1170.558</v>
      </c>
      <c r="H18" s="30">
        <v>26.26</v>
      </c>
      <c r="I18" s="30">
        <v>29.731999999999999</v>
      </c>
      <c r="J18" s="30" t="s">
        <v>224</v>
      </c>
      <c r="K18" s="30">
        <v>0</v>
      </c>
      <c r="L18" s="38" t="s">
        <v>229</v>
      </c>
      <c r="M18" s="23"/>
    </row>
    <row r="19" spans="1:13" s="5" customFormat="1" x14ac:dyDescent="0.2">
      <c r="A19" s="30" t="s">
        <v>37</v>
      </c>
      <c r="B19" s="31" t="s">
        <v>70</v>
      </c>
      <c r="C19" s="31" t="s">
        <v>99</v>
      </c>
      <c r="D19" s="31" t="s">
        <v>168</v>
      </c>
      <c r="E19" s="33" t="s">
        <v>202</v>
      </c>
      <c r="F19" s="30">
        <v>499.75900000000001</v>
      </c>
      <c r="G19" s="30">
        <v>245.88499999999999</v>
      </c>
      <c r="H19" s="30">
        <v>12.694000000000001</v>
      </c>
      <c r="I19" s="30">
        <v>6.2450000000000001</v>
      </c>
      <c r="J19" s="30" t="s">
        <v>224</v>
      </c>
      <c r="K19" s="30">
        <v>90</v>
      </c>
      <c r="L19" s="38" t="s">
        <v>230</v>
      </c>
      <c r="M19" s="23"/>
    </row>
    <row r="20" spans="1:13" s="5" customFormat="1" x14ac:dyDescent="0.2">
      <c r="A20" s="30" t="s">
        <v>38</v>
      </c>
      <c r="B20" s="31" t="s">
        <v>71</v>
      </c>
      <c r="C20" s="31" t="s">
        <v>100</v>
      </c>
      <c r="D20" s="31" t="s">
        <v>169</v>
      </c>
      <c r="E20" s="32" t="s">
        <v>203</v>
      </c>
      <c r="F20" s="30">
        <v>228.84</v>
      </c>
      <c r="G20" s="30">
        <v>949.72</v>
      </c>
      <c r="H20" s="30">
        <v>5.8129999999999997</v>
      </c>
      <c r="I20" s="30">
        <v>24.123000000000001</v>
      </c>
      <c r="J20" s="30" t="s">
        <v>224</v>
      </c>
      <c r="K20" s="30">
        <v>90</v>
      </c>
      <c r="L20" s="38" t="s">
        <v>231</v>
      </c>
      <c r="M20" s="23"/>
    </row>
    <row r="21" spans="1:13" s="5" customFormat="1" x14ac:dyDescent="0.2">
      <c r="A21" s="30" t="s">
        <v>39</v>
      </c>
      <c r="B21" s="31" t="s">
        <v>72</v>
      </c>
      <c r="C21" s="31" t="s">
        <v>101</v>
      </c>
      <c r="D21" s="31" t="s">
        <v>170</v>
      </c>
      <c r="E21" s="33" t="s">
        <v>204</v>
      </c>
      <c r="F21" s="30">
        <v>566.79</v>
      </c>
      <c r="G21" s="30">
        <v>192.73599999999999</v>
      </c>
      <c r="H21" s="30">
        <v>14.396000000000001</v>
      </c>
      <c r="I21" s="30">
        <v>4.8949999999999996</v>
      </c>
      <c r="J21" s="30" t="s">
        <v>224</v>
      </c>
      <c r="K21" s="30">
        <v>90</v>
      </c>
      <c r="L21" s="38" t="s">
        <v>232</v>
      </c>
      <c r="M21" s="23"/>
    </row>
    <row r="22" spans="1:13" s="5" customFormat="1" x14ac:dyDescent="0.2">
      <c r="A22" s="30" t="s">
        <v>39</v>
      </c>
      <c r="B22" s="31" t="s">
        <v>72</v>
      </c>
      <c r="C22" s="31" t="s">
        <v>102</v>
      </c>
      <c r="D22" s="31" t="s">
        <v>170</v>
      </c>
      <c r="E22" s="32" t="s">
        <v>204</v>
      </c>
      <c r="F22" s="30">
        <v>565.11300000000006</v>
      </c>
      <c r="G22" s="30">
        <v>285.12799999999999</v>
      </c>
      <c r="H22" s="30">
        <v>14.353999999999999</v>
      </c>
      <c r="I22" s="30">
        <v>7.242</v>
      </c>
      <c r="J22" s="30" t="s">
        <v>224</v>
      </c>
      <c r="K22" s="30">
        <v>270</v>
      </c>
      <c r="L22" s="38" t="s">
        <v>232</v>
      </c>
      <c r="M22" s="23"/>
    </row>
    <row r="23" spans="1:13" s="5" customFormat="1" x14ac:dyDescent="0.2">
      <c r="A23" s="30" t="s">
        <v>40</v>
      </c>
      <c r="B23" s="31" t="s">
        <v>73</v>
      </c>
      <c r="C23" s="31" t="s">
        <v>103</v>
      </c>
      <c r="D23" s="31" t="s">
        <v>171</v>
      </c>
      <c r="E23" s="33" t="s">
        <v>204</v>
      </c>
      <c r="F23" s="30">
        <v>548.15099999999995</v>
      </c>
      <c r="G23" s="30">
        <v>383.93599999999998</v>
      </c>
      <c r="H23" s="30">
        <v>13.923</v>
      </c>
      <c r="I23" s="30">
        <v>9.7520000000000007</v>
      </c>
      <c r="J23" s="30" t="s">
        <v>224</v>
      </c>
      <c r="K23" s="30">
        <v>0</v>
      </c>
      <c r="L23" s="38" t="s">
        <v>233</v>
      </c>
      <c r="M23" s="23"/>
    </row>
    <row r="24" spans="1:13" s="5" customFormat="1" x14ac:dyDescent="0.2">
      <c r="A24" s="30" t="s">
        <v>40</v>
      </c>
      <c r="B24" s="31" t="s">
        <v>73</v>
      </c>
      <c r="C24" s="31" t="s">
        <v>104</v>
      </c>
      <c r="D24" s="31" t="s">
        <v>171</v>
      </c>
      <c r="E24" s="32" t="s">
        <v>204</v>
      </c>
      <c r="F24" s="30">
        <v>601.27800000000002</v>
      </c>
      <c r="G24" s="30">
        <v>421.363</v>
      </c>
      <c r="H24" s="30">
        <v>15.272</v>
      </c>
      <c r="I24" s="30">
        <v>10.702999999999999</v>
      </c>
      <c r="J24" s="30" t="s">
        <v>224</v>
      </c>
      <c r="K24" s="30">
        <v>270</v>
      </c>
      <c r="L24" s="38" t="s">
        <v>233</v>
      </c>
      <c r="M24" s="23"/>
    </row>
    <row r="25" spans="1:13" s="5" customFormat="1" x14ac:dyDescent="0.2">
      <c r="A25" s="30" t="s">
        <v>40</v>
      </c>
      <c r="B25" s="31" t="s">
        <v>73</v>
      </c>
      <c r="C25" s="31" t="s">
        <v>105</v>
      </c>
      <c r="D25" s="31" t="s">
        <v>171</v>
      </c>
      <c r="E25" s="33" t="s">
        <v>204</v>
      </c>
      <c r="F25" s="30">
        <v>549.84100000000001</v>
      </c>
      <c r="G25" s="30">
        <v>343.29899999999998</v>
      </c>
      <c r="H25" s="30">
        <v>13.965999999999999</v>
      </c>
      <c r="I25" s="30">
        <v>8.7200000000000006</v>
      </c>
      <c r="J25" s="30" t="s">
        <v>224</v>
      </c>
      <c r="K25" s="30">
        <v>0</v>
      </c>
      <c r="L25" s="38" t="s">
        <v>233</v>
      </c>
      <c r="M25" s="23"/>
    </row>
    <row r="26" spans="1:13" s="5" customFormat="1" x14ac:dyDescent="0.2">
      <c r="A26" s="30" t="s">
        <v>41</v>
      </c>
      <c r="B26" s="31" t="s">
        <v>74</v>
      </c>
      <c r="C26" s="31" t="s">
        <v>106</v>
      </c>
      <c r="D26" s="31" t="s">
        <v>172</v>
      </c>
      <c r="E26" s="32" t="s">
        <v>205</v>
      </c>
      <c r="F26" s="30">
        <v>653.54300000000001</v>
      </c>
      <c r="G26" s="30">
        <v>968.56100000000004</v>
      </c>
      <c r="H26" s="30">
        <v>16.600000000000001</v>
      </c>
      <c r="I26" s="30">
        <v>24.600999999999999</v>
      </c>
      <c r="J26" s="30" t="s">
        <v>224</v>
      </c>
      <c r="K26" s="30">
        <v>180</v>
      </c>
      <c r="L26" s="38" t="s">
        <v>234</v>
      </c>
      <c r="M26" s="23"/>
    </row>
    <row r="27" spans="1:13" s="5" customFormat="1" x14ac:dyDescent="0.2">
      <c r="A27" s="30" t="s">
        <v>42</v>
      </c>
      <c r="B27" s="31" t="s">
        <v>75</v>
      </c>
      <c r="C27" s="31" t="s">
        <v>107</v>
      </c>
      <c r="D27" s="31" t="s">
        <v>173</v>
      </c>
      <c r="E27" s="33" t="s">
        <v>204</v>
      </c>
      <c r="F27" s="30">
        <v>748.12900000000002</v>
      </c>
      <c r="G27" s="30">
        <v>495.27600000000001</v>
      </c>
      <c r="H27" s="30">
        <v>19.001999999999999</v>
      </c>
      <c r="I27" s="30">
        <v>12.58</v>
      </c>
      <c r="J27" s="30" t="s">
        <v>224</v>
      </c>
      <c r="K27" s="30">
        <v>270</v>
      </c>
      <c r="L27" s="38" t="s">
        <v>235</v>
      </c>
      <c r="M27" s="23"/>
    </row>
    <row r="28" spans="1:13" s="5" customFormat="1" x14ac:dyDescent="0.2">
      <c r="A28" s="30" t="s">
        <v>42</v>
      </c>
      <c r="B28" s="31" t="s">
        <v>75</v>
      </c>
      <c r="C28" s="31" t="s">
        <v>108</v>
      </c>
      <c r="D28" s="31" t="s">
        <v>173</v>
      </c>
      <c r="E28" s="32" t="s">
        <v>204</v>
      </c>
      <c r="F28" s="30">
        <v>867.63699999999994</v>
      </c>
      <c r="G28" s="30">
        <v>553.79100000000005</v>
      </c>
      <c r="H28" s="30">
        <v>22.038</v>
      </c>
      <c r="I28" s="30">
        <v>14.066000000000001</v>
      </c>
      <c r="J28" s="30" t="s">
        <v>224</v>
      </c>
      <c r="K28" s="30">
        <v>0</v>
      </c>
      <c r="L28" s="38" t="s">
        <v>235</v>
      </c>
      <c r="M28" s="23"/>
    </row>
    <row r="29" spans="1:13" s="5" customFormat="1" x14ac:dyDescent="0.2">
      <c r="A29" s="30" t="s">
        <v>43</v>
      </c>
      <c r="B29" s="31" t="s">
        <v>76</v>
      </c>
      <c r="C29" s="31" t="s">
        <v>109</v>
      </c>
      <c r="D29" s="31" t="s">
        <v>174</v>
      </c>
      <c r="E29" s="33" t="s">
        <v>204</v>
      </c>
      <c r="F29" s="30">
        <v>938.024</v>
      </c>
      <c r="G29" s="30">
        <v>558.36599999999999</v>
      </c>
      <c r="H29" s="30">
        <v>23.826000000000001</v>
      </c>
      <c r="I29" s="30">
        <v>14.182</v>
      </c>
      <c r="J29" s="30" t="s">
        <v>224</v>
      </c>
      <c r="K29" s="30">
        <v>270</v>
      </c>
      <c r="L29" s="38" t="s">
        <v>236</v>
      </c>
      <c r="M29" s="23"/>
    </row>
    <row r="30" spans="1:13" s="5" customFormat="1" x14ac:dyDescent="0.2">
      <c r="A30" s="30" t="s">
        <v>44</v>
      </c>
      <c r="B30" s="31" t="s">
        <v>77</v>
      </c>
      <c r="C30" s="31" t="s">
        <v>110</v>
      </c>
      <c r="D30" s="31" t="s">
        <v>175</v>
      </c>
      <c r="E30" s="32" t="s">
        <v>204</v>
      </c>
      <c r="F30" s="30">
        <v>917.35400000000004</v>
      </c>
      <c r="G30" s="30">
        <v>701.36500000000001</v>
      </c>
      <c r="H30" s="30">
        <v>23.300999999999998</v>
      </c>
      <c r="I30" s="30">
        <v>17.815000000000001</v>
      </c>
      <c r="J30" s="30" t="s">
        <v>224</v>
      </c>
      <c r="K30" s="30">
        <v>0</v>
      </c>
      <c r="L30" s="38" t="s">
        <v>237</v>
      </c>
      <c r="M30" s="23"/>
    </row>
    <row r="31" spans="1:13" s="5" customFormat="1" x14ac:dyDescent="0.2">
      <c r="A31" s="30" t="s">
        <v>45</v>
      </c>
      <c r="B31" s="31" t="s">
        <v>78</v>
      </c>
      <c r="C31" s="31" t="s">
        <v>111</v>
      </c>
      <c r="D31" s="31" t="s">
        <v>176</v>
      </c>
      <c r="E31" s="33" t="s">
        <v>204</v>
      </c>
      <c r="F31" s="30">
        <v>895.28499999999997</v>
      </c>
      <c r="G31" s="30">
        <v>761.22400000000005</v>
      </c>
      <c r="H31" s="30">
        <v>22.74</v>
      </c>
      <c r="I31" s="30">
        <v>19.335000000000001</v>
      </c>
      <c r="J31" s="30" t="s">
        <v>224</v>
      </c>
      <c r="K31" s="30">
        <v>270</v>
      </c>
      <c r="L31" s="38" t="s">
        <v>238</v>
      </c>
      <c r="M31" s="23"/>
    </row>
    <row r="32" spans="1:13" s="5" customFormat="1" x14ac:dyDescent="0.2">
      <c r="A32" s="30" t="s">
        <v>46</v>
      </c>
      <c r="B32" s="31" t="s">
        <v>79</v>
      </c>
      <c r="C32" s="31" t="s">
        <v>112</v>
      </c>
      <c r="D32" s="31" t="s">
        <v>177</v>
      </c>
      <c r="E32" s="32" t="s">
        <v>204</v>
      </c>
      <c r="F32" s="30">
        <v>919.07500000000005</v>
      </c>
      <c r="G32" s="30">
        <v>824.23199999999997</v>
      </c>
      <c r="H32" s="30">
        <v>23.344000000000001</v>
      </c>
      <c r="I32" s="30">
        <v>20.934999999999999</v>
      </c>
      <c r="J32" s="30" t="s">
        <v>224</v>
      </c>
      <c r="K32" s="30">
        <v>0</v>
      </c>
      <c r="L32" s="38" t="s">
        <v>239</v>
      </c>
      <c r="M32" s="23"/>
    </row>
    <row r="33" spans="1:13" s="5" customFormat="1" x14ac:dyDescent="0.2">
      <c r="A33" s="30" t="s">
        <v>42</v>
      </c>
      <c r="B33" s="31" t="s">
        <v>75</v>
      </c>
      <c r="C33" s="31" t="s">
        <v>113</v>
      </c>
      <c r="D33" s="31" t="s">
        <v>173</v>
      </c>
      <c r="E33" s="33" t="s">
        <v>204</v>
      </c>
      <c r="F33" s="30">
        <v>1000.697</v>
      </c>
      <c r="G33" s="30">
        <v>941.61199999999997</v>
      </c>
      <c r="H33" s="30">
        <v>25.417999999999999</v>
      </c>
      <c r="I33" s="30">
        <v>23.917000000000002</v>
      </c>
      <c r="J33" s="30" t="s">
        <v>224</v>
      </c>
      <c r="K33" s="30">
        <v>180</v>
      </c>
      <c r="L33" s="38" t="s">
        <v>235</v>
      </c>
      <c r="M33" s="23"/>
    </row>
    <row r="34" spans="1:13" s="5" customFormat="1" x14ac:dyDescent="0.2">
      <c r="A34" s="30" t="s">
        <v>47</v>
      </c>
      <c r="B34" s="31" t="s">
        <v>80</v>
      </c>
      <c r="C34" s="31" t="s">
        <v>114</v>
      </c>
      <c r="D34" s="31" t="s">
        <v>178</v>
      </c>
      <c r="E34" s="32" t="s">
        <v>204</v>
      </c>
      <c r="F34" s="30">
        <v>937.82399999999996</v>
      </c>
      <c r="G34" s="30">
        <v>429.26400000000001</v>
      </c>
      <c r="H34" s="30">
        <v>23.821000000000002</v>
      </c>
      <c r="I34" s="30">
        <v>10.903</v>
      </c>
      <c r="J34" s="30" t="s">
        <v>224</v>
      </c>
      <c r="K34" s="30">
        <v>270</v>
      </c>
      <c r="L34" s="38" t="s">
        <v>240</v>
      </c>
      <c r="M34" s="23"/>
    </row>
    <row r="35" spans="1:13" s="5" customFormat="1" x14ac:dyDescent="0.2">
      <c r="A35" s="30" t="s">
        <v>40</v>
      </c>
      <c r="B35" s="31" t="s">
        <v>73</v>
      </c>
      <c r="C35" s="31" t="s">
        <v>115</v>
      </c>
      <c r="D35" s="31" t="s">
        <v>171</v>
      </c>
      <c r="E35" s="33" t="s">
        <v>204</v>
      </c>
      <c r="F35" s="30">
        <v>818.34</v>
      </c>
      <c r="G35" s="30">
        <v>469.96800000000002</v>
      </c>
      <c r="H35" s="30">
        <v>20.786000000000001</v>
      </c>
      <c r="I35" s="30">
        <v>11.936999999999999</v>
      </c>
      <c r="J35" s="30" t="s">
        <v>224</v>
      </c>
      <c r="K35" s="30">
        <v>180</v>
      </c>
      <c r="L35" s="38" t="s">
        <v>233</v>
      </c>
      <c r="M35" s="23"/>
    </row>
    <row r="36" spans="1:13" s="5" customFormat="1" x14ac:dyDescent="0.2">
      <c r="A36" s="30" t="s">
        <v>42</v>
      </c>
      <c r="B36" s="31" t="s">
        <v>75</v>
      </c>
      <c r="C36" s="31" t="s">
        <v>116</v>
      </c>
      <c r="D36" s="31" t="s">
        <v>173</v>
      </c>
      <c r="E36" s="32" t="s">
        <v>204</v>
      </c>
      <c r="F36" s="30">
        <v>818.34</v>
      </c>
      <c r="G36" s="30">
        <v>511.06700000000001</v>
      </c>
      <c r="H36" s="30">
        <v>20.786000000000001</v>
      </c>
      <c r="I36" s="30">
        <v>12.981</v>
      </c>
      <c r="J36" s="30" t="s">
        <v>224</v>
      </c>
      <c r="K36" s="30">
        <v>180</v>
      </c>
      <c r="L36" s="38" t="s">
        <v>235</v>
      </c>
      <c r="M36" s="23"/>
    </row>
    <row r="37" spans="1:13" s="5" customFormat="1" x14ac:dyDescent="0.2">
      <c r="A37" s="30" t="s">
        <v>40</v>
      </c>
      <c r="B37" s="31" t="s">
        <v>73</v>
      </c>
      <c r="C37" s="31" t="s">
        <v>117</v>
      </c>
      <c r="D37" s="31" t="s">
        <v>171</v>
      </c>
      <c r="E37" s="33" t="s">
        <v>204</v>
      </c>
      <c r="F37" s="30">
        <v>638.54300000000001</v>
      </c>
      <c r="G37" s="30">
        <v>909.49400000000003</v>
      </c>
      <c r="H37" s="30">
        <v>16.219000000000001</v>
      </c>
      <c r="I37" s="30">
        <v>23.100999999999999</v>
      </c>
      <c r="J37" s="30" t="s">
        <v>224</v>
      </c>
      <c r="K37" s="30">
        <v>180</v>
      </c>
      <c r="L37" s="38" t="s">
        <v>233</v>
      </c>
      <c r="M37" s="23"/>
    </row>
    <row r="38" spans="1:13" s="5" customFormat="1" x14ac:dyDescent="0.2">
      <c r="A38" s="30" t="s">
        <v>48</v>
      </c>
      <c r="B38" s="31" t="s">
        <v>81</v>
      </c>
      <c r="C38" s="31" t="s">
        <v>118</v>
      </c>
      <c r="D38" s="31" t="s">
        <v>179</v>
      </c>
      <c r="E38" s="32" t="s">
        <v>205</v>
      </c>
      <c r="F38" s="30">
        <v>248.03200000000001</v>
      </c>
      <c r="G38" s="30">
        <v>166.16800000000001</v>
      </c>
      <c r="H38" s="30">
        <v>6.3</v>
      </c>
      <c r="I38" s="30">
        <v>4.2210000000000001</v>
      </c>
      <c r="J38" s="30" t="s">
        <v>224</v>
      </c>
      <c r="K38" s="30">
        <v>0</v>
      </c>
      <c r="L38" s="38" t="s">
        <v>241</v>
      </c>
      <c r="M38" s="23"/>
    </row>
    <row r="39" spans="1:13" s="5" customFormat="1" x14ac:dyDescent="0.2">
      <c r="A39" s="30" t="s">
        <v>48</v>
      </c>
      <c r="B39" s="31" t="s">
        <v>81</v>
      </c>
      <c r="C39" s="31" t="s">
        <v>119</v>
      </c>
      <c r="D39" s="31" t="s">
        <v>179</v>
      </c>
      <c r="E39" s="33" t="s">
        <v>205</v>
      </c>
      <c r="F39" s="30">
        <v>249.357</v>
      </c>
      <c r="G39" s="30">
        <v>249.31399999999999</v>
      </c>
      <c r="H39" s="30">
        <v>6.3339999999999996</v>
      </c>
      <c r="I39" s="30">
        <v>6.3330000000000002</v>
      </c>
      <c r="J39" s="30" t="s">
        <v>224</v>
      </c>
      <c r="K39" s="30">
        <v>0</v>
      </c>
      <c r="L39" s="38" t="s">
        <v>241</v>
      </c>
      <c r="M39" s="23"/>
    </row>
    <row r="40" spans="1:13" s="5" customFormat="1" x14ac:dyDescent="0.2">
      <c r="A40" s="30" t="s">
        <v>40</v>
      </c>
      <c r="B40" s="31" t="s">
        <v>73</v>
      </c>
      <c r="C40" s="31" t="s">
        <v>120</v>
      </c>
      <c r="D40" s="31" t="s">
        <v>171</v>
      </c>
      <c r="E40" s="32" t="s">
        <v>204</v>
      </c>
      <c r="F40" s="30">
        <v>355.11900000000003</v>
      </c>
      <c r="G40" s="30">
        <v>994.59900000000005</v>
      </c>
      <c r="H40" s="30">
        <v>9.02</v>
      </c>
      <c r="I40" s="30">
        <v>25.263000000000002</v>
      </c>
      <c r="J40" s="30" t="s">
        <v>224</v>
      </c>
      <c r="K40" s="30">
        <v>180</v>
      </c>
      <c r="L40" s="38" t="s">
        <v>233</v>
      </c>
      <c r="M40" s="23"/>
    </row>
    <row r="41" spans="1:13" s="5" customFormat="1" x14ac:dyDescent="0.2">
      <c r="A41" s="30" t="s">
        <v>40</v>
      </c>
      <c r="B41" s="31" t="s">
        <v>73</v>
      </c>
      <c r="C41" s="31" t="s">
        <v>121</v>
      </c>
      <c r="D41" s="31" t="s">
        <v>171</v>
      </c>
      <c r="E41" s="33" t="s">
        <v>204</v>
      </c>
      <c r="F41" s="30">
        <v>872.11500000000001</v>
      </c>
      <c r="G41" s="30">
        <v>157.726</v>
      </c>
      <c r="H41" s="30">
        <v>22.152000000000001</v>
      </c>
      <c r="I41" s="30">
        <v>4.0060000000000002</v>
      </c>
      <c r="J41" s="30" t="s">
        <v>224</v>
      </c>
      <c r="K41" s="30">
        <v>180</v>
      </c>
      <c r="L41" s="38" t="s">
        <v>233</v>
      </c>
      <c r="M41" s="23"/>
    </row>
    <row r="42" spans="1:13" s="5" customFormat="1" x14ac:dyDescent="0.2">
      <c r="A42" s="30" t="s">
        <v>39</v>
      </c>
      <c r="B42" s="31" t="s">
        <v>72</v>
      </c>
      <c r="C42" s="31" t="s">
        <v>122</v>
      </c>
      <c r="D42" s="31" t="s">
        <v>170</v>
      </c>
      <c r="E42" s="32" t="s">
        <v>204</v>
      </c>
      <c r="F42" s="30">
        <v>292.25599999999997</v>
      </c>
      <c r="G42" s="30">
        <v>919.03700000000003</v>
      </c>
      <c r="H42" s="30">
        <v>7.423</v>
      </c>
      <c r="I42" s="30">
        <v>23.344000000000001</v>
      </c>
      <c r="J42" s="30" t="s">
        <v>224</v>
      </c>
      <c r="K42" s="30">
        <v>270</v>
      </c>
      <c r="L42" s="38" t="s">
        <v>232</v>
      </c>
      <c r="M42" s="23"/>
    </row>
    <row r="43" spans="1:13" s="5" customFormat="1" x14ac:dyDescent="0.2">
      <c r="A43" s="30" t="s">
        <v>40</v>
      </c>
      <c r="B43" s="31" t="s">
        <v>73</v>
      </c>
      <c r="C43" s="31" t="s">
        <v>123</v>
      </c>
      <c r="D43" s="31" t="s">
        <v>171</v>
      </c>
      <c r="E43" s="33" t="s">
        <v>204</v>
      </c>
      <c r="F43" s="30">
        <v>203.03200000000001</v>
      </c>
      <c r="G43" s="30">
        <v>831.11599999999999</v>
      </c>
      <c r="H43" s="30">
        <v>5.157</v>
      </c>
      <c r="I43" s="30">
        <v>21.11</v>
      </c>
      <c r="J43" s="30" t="s">
        <v>224</v>
      </c>
      <c r="K43" s="30">
        <v>90</v>
      </c>
      <c r="L43" s="38" t="s">
        <v>233</v>
      </c>
      <c r="M43" s="23"/>
    </row>
    <row r="44" spans="1:13" s="5" customFormat="1" x14ac:dyDescent="0.2">
      <c r="A44" s="30" t="s">
        <v>41</v>
      </c>
      <c r="B44" s="31" t="s">
        <v>74</v>
      </c>
      <c r="C44" s="31" t="s">
        <v>124</v>
      </c>
      <c r="D44" s="31" t="s">
        <v>172</v>
      </c>
      <c r="E44" s="32" t="s">
        <v>205</v>
      </c>
      <c r="F44" s="30">
        <v>211.81200000000001</v>
      </c>
      <c r="G44" s="30">
        <v>732.90300000000002</v>
      </c>
      <c r="H44" s="30">
        <v>5.38</v>
      </c>
      <c r="I44" s="30">
        <v>18.616</v>
      </c>
      <c r="J44" s="30" t="s">
        <v>224</v>
      </c>
      <c r="K44" s="30">
        <v>270</v>
      </c>
      <c r="L44" s="38" t="s">
        <v>234</v>
      </c>
      <c r="M44" s="23"/>
    </row>
    <row r="45" spans="1:13" s="5" customFormat="1" x14ac:dyDescent="0.2">
      <c r="A45" s="30" t="s">
        <v>40</v>
      </c>
      <c r="B45" s="31" t="s">
        <v>73</v>
      </c>
      <c r="C45" s="31" t="s">
        <v>125</v>
      </c>
      <c r="D45" s="31" t="s">
        <v>171</v>
      </c>
      <c r="E45" s="33" t="s">
        <v>204</v>
      </c>
      <c r="F45" s="30">
        <v>212.00800000000001</v>
      </c>
      <c r="G45" s="30">
        <v>636.26800000000003</v>
      </c>
      <c r="H45" s="30">
        <v>5.3849999999999998</v>
      </c>
      <c r="I45" s="30">
        <v>16.161000000000001</v>
      </c>
      <c r="J45" s="30" t="s">
        <v>224</v>
      </c>
      <c r="K45" s="30">
        <v>270</v>
      </c>
      <c r="L45" s="38" t="s">
        <v>233</v>
      </c>
      <c r="M45" s="23"/>
    </row>
    <row r="46" spans="1:13" s="5" customFormat="1" x14ac:dyDescent="0.2">
      <c r="A46" s="30" t="s">
        <v>40</v>
      </c>
      <c r="B46" s="31" t="s">
        <v>73</v>
      </c>
      <c r="C46" s="31" t="s">
        <v>126</v>
      </c>
      <c r="D46" s="31" t="s">
        <v>171</v>
      </c>
      <c r="E46" s="32" t="s">
        <v>204</v>
      </c>
      <c r="F46" s="30">
        <v>167.04</v>
      </c>
      <c r="G46" s="30">
        <v>1103.75</v>
      </c>
      <c r="H46" s="30">
        <v>4.2430000000000003</v>
      </c>
      <c r="I46" s="30">
        <v>28.035</v>
      </c>
      <c r="J46" s="30" t="s">
        <v>224</v>
      </c>
      <c r="K46" s="30">
        <v>0</v>
      </c>
      <c r="L46" s="38" t="s">
        <v>233</v>
      </c>
      <c r="M46" s="23"/>
    </row>
    <row r="47" spans="1:13" s="5" customFormat="1" x14ac:dyDescent="0.2">
      <c r="A47" s="30" t="s">
        <v>40</v>
      </c>
      <c r="B47" s="31" t="s">
        <v>73</v>
      </c>
      <c r="C47" s="31" t="s">
        <v>127</v>
      </c>
      <c r="D47" s="31" t="s">
        <v>171</v>
      </c>
      <c r="E47" s="33" t="s">
        <v>204</v>
      </c>
      <c r="F47" s="30">
        <v>592.51599999999996</v>
      </c>
      <c r="G47" s="30">
        <v>584.39200000000005</v>
      </c>
      <c r="H47" s="30">
        <v>15.05</v>
      </c>
      <c r="I47" s="30">
        <v>14.843999999999999</v>
      </c>
      <c r="J47" s="30" t="s">
        <v>224</v>
      </c>
      <c r="K47" s="30">
        <v>90</v>
      </c>
      <c r="L47" s="38" t="s">
        <v>233</v>
      </c>
      <c r="M47" s="23"/>
    </row>
    <row r="48" spans="1:13" s="5" customFormat="1" x14ac:dyDescent="0.2">
      <c r="A48" s="30" t="s">
        <v>39</v>
      </c>
      <c r="B48" s="31" t="s">
        <v>72</v>
      </c>
      <c r="C48" s="31" t="s">
        <v>128</v>
      </c>
      <c r="D48" s="31" t="s">
        <v>170</v>
      </c>
      <c r="E48" s="32" t="s">
        <v>204</v>
      </c>
      <c r="F48" s="30">
        <v>293.03199999999998</v>
      </c>
      <c r="G48" s="30">
        <v>990.67200000000003</v>
      </c>
      <c r="H48" s="30">
        <v>7.4429999999999996</v>
      </c>
      <c r="I48" s="30">
        <v>25.163</v>
      </c>
      <c r="J48" s="30" t="s">
        <v>224</v>
      </c>
      <c r="K48" s="30">
        <v>270</v>
      </c>
      <c r="L48" s="38" t="s">
        <v>232</v>
      </c>
      <c r="M48" s="23"/>
    </row>
    <row r="49" spans="1:13" s="5" customFormat="1" x14ac:dyDescent="0.2">
      <c r="A49" s="30" t="s">
        <v>49</v>
      </c>
      <c r="B49" s="31" t="s">
        <v>82</v>
      </c>
      <c r="C49" s="31" t="s">
        <v>129</v>
      </c>
      <c r="D49" s="31" t="s">
        <v>180</v>
      </c>
      <c r="E49" s="33" t="s">
        <v>204</v>
      </c>
      <c r="F49" s="30">
        <v>708.101</v>
      </c>
      <c r="G49" s="30">
        <v>495.31700000000001</v>
      </c>
      <c r="H49" s="30">
        <v>17.986000000000001</v>
      </c>
      <c r="I49" s="30">
        <v>12.581</v>
      </c>
      <c r="J49" s="30" t="s">
        <v>224</v>
      </c>
      <c r="K49" s="30">
        <v>270</v>
      </c>
      <c r="L49" s="38" t="s">
        <v>233</v>
      </c>
      <c r="M49" s="23"/>
    </row>
    <row r="50" spans="1:13" s="5" customFormat="1" x14ac:dyDescent="0.2">
      <c r="A50" s="30" t="s">
        <v>41</v>
      </c>
      <c r="B50" s="31" t="s">
        <v>74</v>
      </c>
      <c r="C50" s="31" t="s">
        <v>130</v>
      </c>
      <c r="D50" s="31" t="s">
        <v>172</v>
      </c>
      <c r="E50" s="32" t="s">
        <v>205</v>
      </c>
      <c r="F50" s="30">
        <v>249.357</v>
      </c>
      <c r="G50" s="30">
        <v>93.518000000000001</v>
      </c>
      <c r="H50" s="30">
        <v>6.3339999999999996</v>
      </c>
      <c r="I50" s="30">
        <v>2.375</v>
      </c>
      <c r="J50" s="30" t="s">
        <v>224</v>
      </c>
      <c r="K50" s="30">
        <v>0</v>
      </c>
      <c r="L50" s="38" t="s">
        <v>234</v>
      </c>
      <c r="M50" s="23"/>
    </row>
    <row r="51" spans="1:13" s="5" customFormat="1" x14ac:dyDescent="0.2">
      <c r="A51" s="30" t="s">
        <v>50</v>
      </c>
      <c r="B51" s="31" t="s">
        <v>83</v>
      </c>
      <c r="C51" s="31" t="s">
        <v>131</v>
      </c>
      <c r="D51" s="31" t="s">
        <v>181</v>
      </c>
      <c r="E51" s="33" t="s">
        <v>206</v>
      </c>
      <c r="F51" s="30">
        <v>532.83699999999999</v>
      </c>
      <c r="G51" s="30">
        <v>1110.2339999999999</v>
      </c>
      <c r="H51" s="30">
        <v>13.534000000000001</v>
      </c>
      <c r="I51" s="30">
        <v>28.2</v>
      </c>
      <c r="J51" s="30" t="s">
        <v>225</v>
      </c>
      <c r="K51" s="30">
        <v>90</v>
      </c>
      <c r="L51" s="38" t="s">
        <v>242</v>
      </c>
      <c r="M51" s="23"/>
    </row>
    <row r="52" spans="1:13" s="5" customFormat="1" x14ac:dyDescent="0.2">
      <c r="A52" s="30" t="s">
        <v>50</v>
      </c>
      <c r="B52" s="31" t="s">
        <v>83</v>
      </c>
      <c r="C52" s="31" t="s">
        <v>132</v>
      </c>
      <c r="D52" s="31" t="s">
        <v>181</v>
      </c>
      <c r="E52" s="32" t="s">
        <v>206</v>
      </c>
      <c r="F52" s="30">
        <v>773.88099999999997</v>
      </c>
      <c r="G52" s="30">
        <v>1106.097</v>
      </c>
      <c r="H52" s="30">
        <v>19.657</v>
      </c>
      <c r="I52" s="30">
        <v>28.094999999999999</v>
      </c>
      <c r="J52" s="30" t="s">
        <v>224</v>
      </c>
      <c r="K52" s="30">
        <v>180</v>
      </c>
      <c r="L52" s="38" t="s">
        <v>242</v>
      </c>
      <c r="M52" s="23"/>
    </row>
    <row r="53" spans="1:13" s="5" customFormat="1" x14ac:dyDescent="0.2">
      <c r="A53" s="30" t="s">
        <v>51</v>
      </c>
      <c r="B53" s="31" t="s">
        <v>84</v>
      </c>
      <c r="C53" s="31" t="s">
        <v>133</v>
      </c>
      <c r="D53" s="31" t="s">
        <v>182</v>
      </c>
      <c r="E53" s="33" t="s">
        <v>207</v>
      </c>
      <c r="F53" s="30">
        <v>2216.0210000000002</v>
      </c>
      <c r="G53" s="30">
        <v>124.032</v>
      </c>
      <c r="H53" s="30">
        <v>56.286999999999999</v>
      </c>
      <c r="I53" s="30">
        <v>3.15</v>
      </c>
      <c r="J53" s="30" t="s">
        <v>224</v>
      </c>
      <c r="K53" s="30">
        <v>90</v>
      </c>
      <c r="L53" s="38" t="s">
        <v>243</v>
      </c>
      <c r="M53" s="23"/>
    </row>
    <row r="54" spans="1:13" s="5" customFormat="1" x14ac:dyDescent="0.2">
      <c r="A54" s="30" t="s">
        <v>51</v>
      </c>
      <c r="B54" s="31" t="s">
        <v>84</v>
      </c>
      <c r="C54" s="31" t="s">
        <v>134</v>
      </c>
      <c r="D54" s="31" t="s">
        <v>182</v>
      </c>
      <c r="E54" s="32" t="s">
        <v>207</v>
      </c>
      <c r="F54" s="30">
        <v>2546.0210000000002</v>
      </c>
      <c r="G54" s="30">
        <v>104.032</v>
      </c>
      <c r="H54" s="30">
        <v>64.668999999999997</v>
      </c>
      <c r="I54" s="30">
        <v>2.6419999999999999</v>
      </c>
      <c r="J54" s="30" t="s">
        <v>224</v>
      </c>
      <c r="K54" s="30">
        <v>90</v>
      </c>
      <c r="L54" s="38" t="s">
        <v>243</v>
      </c>
      <c r="M54" s="23"/>
    </row>
    <row r="55" spans="1:13" s="5" customFormat="1" x14ac:dyDescent="0.2">
      <c r="A55" s="30" t="s">
        <v>51</v>
      </c>
      <c r="B55" s="31" t="s">
        <v>84</v>
      </c>
      <c r="C55" s="31" t="s">
        <v>135</v>
      </c>
      <c r="D55" s="31" t="s">
        <v>182</v>
      </c>
      <c r="E55" s="33" t="s">
        <v>207</v>
      </c>
      <c r="F55" s="30">
        <v>1536.021</v>
      </c>
      <c r="G55" s="30">
        <v>154.03200000000001</v>
      </c>
      <c r="H55" s="30">
        <v>39.015000000000001</v>
      </c>
      <c r="I55" s="30">
        <v>3.9119999999999999</v>
      </c>
      <c r="J55" s="30" t="s">
        <v>224</v>
      </c>
      <c r="K55" s="30">
        <v>90</v>
      </c>
      <c r="L55" s="38" t="s">
        <v>243</v>
      </c>
      <c r="M55" s="23"/>
    </row>
    <row r="56" spans="1:13" s="5" customFormat="1" x14ac:dyDescent="0.2">
      <c r="A56" s="30" t="s">
        <v>51</v>
      </c>
      <c r="B56" s="31" t="s">
        <v>84</v>
      </c>
      <c r="C56" s="31" t="s">
        <v>136</v>
      </c>
      <c r="D56" s="31" t="s">
        <v>182</v>
      </c>
      <c r="E56" s="32" t="s">
        <v>207</v>
      </c>
      <c r="F56" s="30">
        <v>1906.021</v>
      </c>
      <c r="G56" s="30">
        <v>154.03200000000001</v>
      </c>
      <c r="H56" s="30">
        <v>48.412999999999997</v>
      </c>
      <c r="I56" s="30">
        <v>3.9119999999999999</v>
      </c>
      <c r="J56" s="30" t="s">
        <v>224</v>
      </c>
      <c r="K56" s="30">
        <v>90</v>
      </c>
      <c r="L56" s="38" t="s">
        <v>243</v>
      </c>
      <c r="M56" s="23"/>
    </row>
    <row r="57" spans="1:13" s="5" customFormat="1" x14ac:dyDescent="0.2">
      <c r="A57" s="30" t="s">
        <v>52</v>
      </c>
      <c r="B57" s="31" t="s">
        <v>85</v>
      </c>
      <c r="C57" s="31" t="s">
        <v>137</v>
      </c>
      <c r="D57" s="31" t="s">
        <v>183</v>
      </c>
      <c r="E57" s="33" t="s">
        <v>208</v>
      </c>
      <c r="F57" s="30">
        <v>39.371000000000002</v>
      </c>
      <c r="G57" s="30">
        <v>600</v>
      </c>
      <c r="H57" s="30">
        <v>1</v>
      </c>
      <c r="I57" s="30">
        <v>15.24</v>
      </c>
      <c r="J57" s="30" t="s">
        <v>225</v>
      </c>
      <c r="K57" s="30">
        <v>270</v>
      </c>
      <c r="L57" s="38" t="s">
        <v>244</v>
      </c>
      <c r="M57" s="23"/>
    </row>
    <row r="58" spans="1:13" s="5" customFormat="1" x14ac:dyDescent="0.2">
      <c r="A58" s="30" t="s">
        <v>53</v>
      </c>
      <c r="B58" s="31" t="s">
        <v>86</v>
      </c>
      <c r="C58" s="31" t="s">
        <v>138</v>
      </c>
      <c r="D58" s="31" t="s">
        <v>184</v>
      </c>
      <c r="E58" s="32" t="s">
        <v>209</v>
      </c>
      <c r="F58" s="30">
        <v>1299.213</v>
      </c>
      <c r="G58" s="30">
        <v>400</v>
      </c>
      <c r="H58" s="30">
        <v>33</v>
      </c>
      <c r="I58" s="30">
        <v>10.16</v>
      </c>
      <c r="J58" s="30" t="s">
        <v>225</v>
      </c>
      <c r="K58" s="30">
        <v>270</v>
      </c>
      <c r="L58" s="38" t="s">
        <v>245</v>
      </c>
      <c r="M58" s="23"/>
    </row>
    <row r="59" spans="1:13" s="5" customFormat="1" x14ac:dyDescent="0.2">
      <c r="A59" s="30" t="s">
        <v>54</v>
      </c>
      <c r="B59" s="31" t="s">
        <v>87</v>
      </c>
      <c r="C59" s="31" t="s">
        <v>139</v>
      </c>
      <c r="D59" s="31" t="s">
        <v>185</v>
      </c>
      <c r="E59" s="33" t="s">
        <v>210</v>
      </c>
      <c r="F59" s="30">
        <v>220.47300000000001</v>
      </c>
      <c r="G59" s="30">
        <v>543.30799999999999</v>
      </c>
      <c r="H59" s="30">
        <v>5.6</v>
      </c>
      <c r="I59" s="30">
        <v>13.8</v>
      </c>
      <c r="J59" s="30" t="s">
        <v>224</v>
      </c>
      <c r="K59" s="30">
        <v>90</v>
      </c>
      <c r="L59" s="38" t="s">
        <v>246</v>
      </c>
      <c r="M59" s="23"/>
    </row>
    <row r="60" spans="1:13" s="5" customFormat="1" x14ac:dyDescent="0.2">
      <c r="A60" s="30" t="s">
        <v>55</v>
      </c>
      <c r="B60" s="31" t="s">
        <v>88</v>
      </c>
      <c r="C60" s="31" t="s">
        <v>140</v>
      </c>
      <c r="D60" s="31" t="s">
        <v>186</v>
      </c>
      <c r="E60" s="32" t="s">
        <v>211</v>
      </c>
      <c r="F60" s="30">
        <v>884.87400000000002</v>
      </c>
      <c r="G60" s="30">
        <v>487.30799999999999</v>
      </c>
      <c r="H60" s="30">
        <v>22.475999999999999</v>
      </c>
      <c r="I60" s="30">
        <v>12.378</v>
      </c>
      <c r="J60" s="30" t="s">
        <v>224</v>
      </c>
      <c r="K60" s="30">
        <v>90</v>
      </c>
      <c r="L60" s="38" t="s">
        <v>247</v>
      </c>
      <c r="M60" s="23"/>
    </row>
    <row r="61" spans="1:13" s="5" customFormat="1" x14ac:dyDescent="0.2">
      <c r="A61" s="30" t="s">
        <v>56</v>
      </c>
      <c r="B61" s="31" t="s">
        <v>89</v>
      </c>
      <c r="C61" s="31" t="s">
        <v>141</v>
      </c>
      <c r="D61" s="31" t="s">
        <v>187</v>
      </c>
      <c r="E61" s="33" t="s">
        <v>212</v>
      </c>
      <c r="F61" s="30">
        <v>1000.697</v>
      </c>
      <c r="G61" s="30">
        <v>409.61799999999999</v>
      </c>
      <c r="H61" s="30">
        <v>25.417999999999999</v>
      </c>
      <c r="I61" s="30">
        <v>10.404</v>
      </c>
      <c r="J61" s="30" t="s">
        <v>224</v>
      </c>
      <c r="K61" s="30">
        <v>180</v>
      </c>
      <c r="L61" s="38" t="s">
        <v>248</v>
      </c>
      <c r="M61" s="23"/>
    </row>
    <row r="62" spans="1:13" s="5" customFormat="1" x14ac:dyDescent="0.2">
      <c r="A62" s="30" t="s">
        <v>57</v>
      </c>
      <c r="B62" s="31" t="s">
        <v>90</v>
      </c>
      <c r="C62" s="31" t="s">
        <v>142</v>
      </c>
      <c r="D62" s="31" t="s">
        <v>188</v>
      </c>
      <c r="E62" s="32" t="s">
        <v>212</v>
      </c>
      <c r="F62" s="30">
        <v>938.43899999999996</v>
      </c>
      <c r="G62" s="30">
        <v>639.93899999999996</v>
      </c>
      <c r="H62" s="30">
        <v>23.835999999999999</v>
      </c>
      <c r="I62" s="30">
        <v>16.254000000000001</v>
      </c>
      <c r="J62" s="30" t="s">
        <v>224</v>
      </c>
      <c r="K62" s="30">
        <v>90</v>
      </c>
      <c r="L62" s="38" t="s">
        <v>249</v>
      </c>
      <c r="M62" s="23"/>
    </row>
    <row r="63" spans="1:13" s="5" customFormat="1" x14ac:dyDescent="0.2">
      <c r="A63" s="30" t="s">
        <v>58</v>
      </c>
      <c r="B63" s="31" t="s">
        <v>91</v>
      </c>
      <c r="C63" s="31" t="s">
        <v>143</v>
      </c>
      <c r="D63" s="31" t="s">
        <v>189</v>
      </c>
      <c r="E63" s="33" t="s">
        <v>212</v>
      </c>
      <c r="F63" s="30">
        <v>937.25300000000004</v>
      </c>
      <c r="G63" s="30">
        <v>760.11400000000003</v>
      </c>
      <c r="H63" s="30">
        <v>23.806000000000001</v>
      </c>
      <c r="I63" s="30">
        <v>19.306999999999999</v>
      </c>
      <c r="J63" s="30" t="s">
        <v>224</v>
      </c>
      <c r="K63" s="30">
        <v>90</v>
      </c>
      <c r="L63" s="38" t="s">
        <v>250</v>
      </c>
      <c r="M63" s="23"/>
    </row>
    <row r="64" spans="1:13" s="5" customFormat="1" x14ac:dyDescent="0.2">
      <c r="A64" s="30" t="s">
        <v>59</v>
      </c>
      <c r="B64" s="31">
        <v>0</v>
      </c>
      <c r="C64" s="31" t="s">
        <v>144</v>
      </c>
      <c r="D64" s="31" t="s">
        <v>190</v>
      </c>
      <c r="E64" s="32" t="s">
        <v>213</v>
      </c>
      <c r="F64" s="30">
        <v>939.06899999999996</v>
      </c>
      <c r="G64" s="30">
        <v>884.09699999999998</v>
      </c>
      <c r="H64" s="30">
        <v>23.852</v>
      </c>
      <c r="I64" s="30">
        <v>22.456</v>
      </c>
      <c r="J64" s="30" t="s">
        <v>224</v>
      </c>
      <c r="K64" s="30">
        <v>90</v>
      </c>
      <c r="L64" s="38" t="s">
        <v>251</v>
      </c>
      <c r="M64" s="23"/>
    </row>
    <row r="65" spans="1:13" s="5" customFormat="1" x14ac:dyDescent="0.2">
      <c r="A65" s="30" t="s">
        <v>59</v>
      </c>
      <c r="B65" s="31">
        <v>0</v>
      </c>
      <c r="C65" s="31" t="s">
        <v>145</v>
      </c>
      <c r="D65" s="31" t="s">
        <v>190</v>
      </c>
      <c r="E65" s="33" t="s">
        <v>213</v>
      </c>
      <c r="F65" s="30">
        <v>1034.7449999999999</v>
      </c>
      <c r="G65" s="30">
        <v>998.57799999999997</v>
      </c>
      <c r="H65" s="30">
        <v>26.283000000000001</v>
      </c>
      <c r="I65" s="30">
        <v>25.364000000000001</v>
      </c>
      <c r="J65" s="30" t="s">
        <v>224</v>
      </c>
      <c r="K65" s="30">
        <v>90</v>
      </c>
      <c r="L65" s="38" t="s">
        <v>251</v>
      </c>
      <c r="M65" s="23"/>
    </row>
    <row r="66" spans="1:13" s="5" customFormat="1" x14ac:dyDescent="0.2">
      <c r="A66" s="30" t="s">
        <v>60</v>
      </c>
      <c r="B66" s="31">
        <v>100</v>
      </c>
      <c r="C66" s="31" t="s">
        <v>146</v>
      </c>
      <c r="D66" s="31" t="s">
        <v>191</v>
      </c>
      <c r="E66" s="32" t="s">
        <v>214</v>
      </c>
      <c r="F66" s="30">
        <v>299.99900000000002</v>
      </c>
      <c r="G66" s="30">
        <v>1130.482</v>
      </c>
      <c r="H66" s="30">
        <v>7.62</v>
      </c>
      <c r="I66" s="30">
        <v>28.713999999999999</v>
      </c>
      <c r="J66" s="30" t="s">
        <v>224</v>
      </c>
      <c r="K66" s="30">
        <v>0</v>
      </c>
      <c r="L66" s="38" t="s">
        <v>252</v>
      </c>
      <c r="M66" s="23"/>
    </row>
    <row r="67" spans="1:13" s="5" customFormat="1" x14ac:dyDescent="0.2">
      <c r="A67" s="30" t="s">
        <v>61</v>
      </c>
      <c r="B67" s="31">
        <v>750</v>
      </c>
      <c r="C67" s="31" t="s">
        <v>147</v>
      </c>
      <c r="D67" s="31" t="s">
        <v>192</v>
      </c>
      <c r="E67" s="33" t="s">
        <v>215</v>
      </c>
      <c r="F67" s="30">
        <v>480.47500000000002</v>
      </c>
      <c r="G67" s="30">
        <v>1110.085</v>
      </c>
      <c r="H67" s="30">
        <v>12.204000000000001</v>
      </c>
      <c r="I67" s="30">
        <v>28.196000000000002</v>
      </c>
      <c r="J67" s="30" t="s">
        <v>225</v>
      </c>
      <c r="K67" s="30">
        <v>90</v>
      </c>
      <c r="L67" s="38" t="s">
        <v>253</v>
      </c>
      <c r="M67" s="23"/>
    </row>
    <row r="68" spans="1:13" s="5" customFormat="1" x14ac:dyDescent="0.2">
      <c r="A68" s="30" t="s">
        <v>60</v>
      </c>
      <c r="B68" s="31">
        <v>100</v>
      </c>
      <c r="C68" s="31" t="s">
        <v>148</v>
      </c>
      <c r="D68" s="31" t="s">
        <v>191</v>
      </c>
      <c r="E68" s="32" t="s">
        <v>214</v>
      </c>
      <c r="F68" s="30">
        <v>391.19499999999999</v>
      </c>
      <c r="G68" s="30">
        <v>425.327</v>
      </c>
      <c r="H68" s="30">
        <v>9.9359999999999999</v>
      </c>
      <c r="I68" s="30">
        <v>10.803000000000001</v>
      </c>
      <c r="J68" s="30" t="s">
        <v>224</v>
      </c>
      <c r="K68" s="30">
        <v>0</v>
      </c>
      <c r="L68" s="38" t="s">
        <v>252</v>
      </c>
      <c r="M68" s="23"/>
    </row>
    <row r="69" spans="1:13" s="5" customFormat="1" x14ac:dyDescent="0.2">
      <c r="A69" s="30" t="s">
        <v>60</v>
      </c>
      <c r="B69" s="31">
        <v>100</v>
      </c>
      <c r="C69" s="31" t="s">
        <v>149</v>
      </c>
      <c r="D69" s="31" t="s">
        <v>191</v>
      </c>
      <c r="E69" s="33" t="s">
        <v>214</v>
      </c>
      <c r="F69" s="30">
        <v>1106.153</v>
      </c>
      <c r="G69" s="30">
        <v>280.07799999999997</v>
      </c>
      <c r="H69" s="30">
        <v>28.096</v>
      </c>
      <c r="I69" s="30">
        <v>7.1139999999999999</v>
      </c>
      <c r="J69" s="30" t="s">
        <v>224</v>
      </c>
      <c r="K69" s="30">
        <v>0</v>
      </c>
      <c r="L69" s="38" t="s">
        <v>252</v>
      </c>
      <c r="M69" s="23"/>
    </row>
    <row r="70" spans="1:13" s="5" customFormat="1" x14ac:dyDescent="0.2">
      <c r="A70" s="30" t="s">
        <v>62</v>
      </c>
      <c r="B70" s="31" t="s">
        <v>92</v>
      </c>
      <c r="C70" s="31" t="s">
        <v>150</v>
      </c>
      <c r="D70" s="31" t="s">
        <v>193</v>
      </c>
      <c r="E70" s="32" t="s">
        <v>215</v>
      </c>
      <c r="F70" s="30">
        <v>106.29</v>
      </c>
      <c r="G70" s="30">
        <v>1073.7840000000001</v>
      </c>
      <c r="H70" s="30">
        <v>2.7</v>
      </c>
      <c r="I70" s="30">
        <v>27.274000000000001</v>
      </c>
      <c r="J70" s="30" t="s">
        <v>224</v>
      </c>
      <c r="K70" s="30">
        <v>90</v>
      </c>
      <c r="L70" s="38" t="s">
        <v>254</v>
      </c>
      <c r="M70" s="23"/>
    </row>
    <row r="71" spans="1:13" s="5" customFormat="1" x14ac:dyDescent="0.2">
      <c r="A71" s="30" t="s">
        <v>61</v>
      </c>
      <c r="B71" s="31">
        <v>750</v>
      </c>
      <c r="C71" s="31" t="s">
        <v>151</v>
      </c>
      <c r="D71" s="31" t="s">
        <v>192</v>
      </c>
      <c r="E71" s="33" t="s">
        <v>215</v>
      </c>
      <c r="F71" s="30">
        <v>658.22799999999995</v>
      </c>
      <c r="G71" s="30">
        <v>1106.097</v>
      </c>
      <c r="H71" s="30">
        <v>16.719000000000001</v>
      </c>
      <c r="I71" s="30">
        <v>28.094999999999999</v>
      </c>
      <c r="J71" s="30" t="s">
        <v>224</v>
      </c>
      <c r="K71" s="30">
        <v>0</v>
      </c>
      <c r="L71" s="38" t="s">
        <v>253</v>
      </c>
      <c r="M71" s="23"/>
    </row>
    <row r="72" spans="1:13" s="5" customFormat="1" x14ac:dyDescent="0.2">
      <c r="A72" s="30" t="s">
        <v>60</v>
      </c>
      <c r="B72" s="31">
        <v>100</v>
      </c>
      <c r="C72" s="31" t="s">
        <v>152</v>
      </c>
      <c r="D72" s="31" t="s">
        <v>191</v>
      </c>
      <c r="E72" s="32" t="s">
        <v>214</v>
      </c>
      <c r="F72" s="30">
        <v>967.55100000000004</v>
      </c>
      <c r="G72" s="30">
        <v>297.678</v>
      </c>
      <c r="H72" s="30">
        <v>24.576000000000001</v>
      </c>
      <c r="I72" s="30">
        <v>7.5609999999999999</v>
      </c>
      <c r="J72" s="30" t="s">
        <v>224</v>
      </c>
      <c r="K72" s="30">
        <v>180</v>
      </c>
      <c r="L72" s="38" t="s">
        <v>252</v>
      </c>
      <c r="M72" s="23"/>
    </row>
    <row r="73" spans="1:13" s="5" customFormat="1" x14ac:dyDescent="0.2">
      <c r="A73" s="30" t="s">
        <v>63</v>
      </c>
      <c r="B73" s="31">
        <v>100</v>
      </c>
      <c r="C73" s="31" t="s">
        <v>153</v>
      </c>
      <c r="D73" s="31" t="s">
        <v>194</v>
      </c>
      <c r="E73" s="33" t="s">
        <v>215</v>
      </c>
      <c r="F73" s="30">
        <v>110.23699999999999</v>
      </c>
      <c r="G73" s="30">
        <v>951.73800000000006</v>
      </c>
      <c r="H73" s="30">
        <v>2.8</v>
      </c>
      <c r="I73" s="30">
        <v>24.173999999999999</v>
      </c>
      <c r="J73" s="30" t="s">
        <v>224</v>
      </c>
      <c r="K73" s="30">
        <v>90</v>
      </c>
      <c r="L73" s="38" t="s">
        <v>255</v>
      </c>
      <c r="M73" s="23"/>
    </row>
    <row r="74" spans="1:13" s="5" customFormat="1" x14ac:dyDescent="0.2">
      <c r="A74" s="30" t="s">
        <v>63</v>
      </c>
      <c r="B74" s="31">
        <v>100</v>
      </c>
      <c r="C74" s="31" t="s">
        <v>154</v>
      </c>
      <c r="D74" s="31" t="s">
        <v>194</v>
      </c>
      <c r="E74" s="32" t="s">
        <v>215</v>
      </c>
      <c r="F74" s="30">
        <v>110.23699999999999</v>
      </c>
      <c r="G74" s="30">
        <v>849.11599999999999</v>
      </c>
      <c r="H74" s="30">
        <v>2.8</v>
      </c>
      <c r="I74" s="30">
        <v>21.568000000000001</v>
      </c>
      <c r="J74" s="30" t="s">
        <v>224</v>
      </c>
      <c r="K74" s="30">
        <v>270</v>
      </c>
      <c r="L74" s="38" t="s">
        <v>255</v>
      </c>
      <c r="M74" s="23"/>
    </row>
    <row r="75" spans="1:13" s="5" customFormat="1" x14ac:dyDescent="0.2">
      <c r="A75" s="30" t="s">
        <v>63</v>
      </c>
      <c r="B75" s="31">
        <v>100</v>
      </c>
      <c r="C75" s="31" t="s">
        <v>155</v>
      </c>
      <c r="D75" s="31" t="s">
        <v>194</v>
      </c>
      <c r="E75" s="33" t="s">
        <v>215</v>
      </c>
      <c r="F75" s="30">
        <v>110.23699999999999</v>
      </c>
      <c r="G75" s="30">
        <v>750.90300000000002</v>
      </c>
      <c r="H75" s="30">
        <v>2.8</v>
      </c>
      <c r="I75" s="30">
        <v>19.073</v>
      </c>
      <c r="J75" s="30" t="s">
        <v>224</v>
      </c>
      <c r="K75" s="30">
        <v>90</v>
      </c>
      <c r="L75" s="38" t="s">
        <v>255</v>
      </c>
      <c r="M75" s="23"/>
    </row>
    <row r="76" spans="1:13" s="5" customFormat="1" x14ac:dyDescent="0.2">
      <c r="A76" s="30" t="s">
        <v>63</v>
      </c>
      <c r="B76" s="31">
        <v>100</v>
      </c>
      <c r="C76" s="31" t="s">
        <v>156</v>
      </c>
      <c r="D76" s="31" t="s">
        <v>194</v>
      </c>
      <c r="E76" s="32" t="s">
        <v>215</v>
      </c>
      <c r="F76" s="30">
        <v>110.23699999999999</v>
      </c>
      <c r="G76" s="30">
        <v>646.03099999999995</v>
      </c>
      <c r="H76" s="30">
        <v>2.8</v>
      </c>
      <c r="I76" s="30">
        <v>16.408999999999999</v>
      </c>
      <c r="J76" s="30" t="s">
        <v>224</v>
      </c>
      <c r="K76" s="30">
        <v>270</v>
      </c>
      <c r="L76" s="38" t="s">
        <v>255</v>
      </c>
      <c r="M76" s="23"/>
    </row>
    <row r="77" spans="1:13" s="5" customFormat="1" x14ac:dyDescent="0.2">
      <c r="A77" s="30" t="s">
        <v>60</v>
      </c>
      <c r="B77" s="31">
        <v>100</v>
      </c>
      <c r="C77" s="31" t="s">
        <v>157</v>
      </c>
      <c r="D77" s="31" t="s">
        <v>191</v>
      </c>
      <c r="E77" s="33" t="s">
        <v>214</v>
      </c>
      <c r="F77" s="30">
        <v>1106.153</v>
      </c>
      <c r="G77" s="30">
        <v>169.00299999999999</v>
      </c>
      <c r="H77" s="30">
        <v>28.096</v>
      </c>
      <c r="I77" s="30">
        <v>4.2930000000000001</v>
      </c>
      <c r="J77" s="30" t="s">
        <v>224</v>
      </c>
      <c r="K77" s="30">
        <v>0</v>
      </c>
      <c r="L77" s="38" t="s">
        <v>252</v>
      </c>
      <c r="M77" s="23"/>
    </row>
    <row r="78" spans="1:13" s="5" customFormat="1" x14ac:dyDescent="0.2">
      <c r="A78" s="30" t="s">
        <v>62</v>
      </c>
      <c r="B78" s="31" t="s">
        <v>92</v>
      </c>
      <c r="C78" s="31" t="s">
        <v>158</v>
      </c>
      <c r="D78" s="31" t="s">
        <v>193</v>
      </c>
      <c r="E78" s="32" t="s">
        <v>215</v>
      </c>
      <c r="F78" s="30">
        <v>440.83</v>
      </c>
      <c r="G78" s="30">
        <v>995.23699999999997</v>
      </c>
      <c r="H78" s="30">
        <v>11.196999999999999</v>
      </c>
      <c r="I78" s="30">
        <v>25.279</v>
      </c>
      <c r="J78" s="30" t="s">
        <v>224</v>
      </c>
      <c r="K78" s="30">
        <v>180</v>
      </c>
      <c r="L78" s="38" t="s">
        <v>254</v>
      </c>
      <c r="M78" s="23"/>
    </row>
    <row r="79" spans="1:13" s="5" customFormat="1" x14ac:dyDescent="0.2">
      <c r="A79" s="30" t="s">
        <v>62</v>
      </c>
      <c r="B79" s="31" t="s">
        <v>92</v>
      </c>
      <c r="C79" s="31" t="s">
        <v>159</v>
      </c>
      <c r="D79" s="31" t="s">
        <v>193</v>
      </c>
      <c r="E79" s="33" t="s">
        <v>215</v>
      </c>
      <c r="F79" s="30">
        <v>161.41800000000001</v>
      </c>
      <c r="G79" s="30">
        <v>1150.9960000000001</v>
      </c>
      <c r="H79" s="30">
        <v>4.0999999999999996</v>
      </c>
      <c r="I79" s="30">
        <v>29.234999999999999</v>
      </c>
      <c r="J79" s="30" t="s">
        <v>224</v>
      </c>
      <c r="K79" s="30">
        <v>0</v>
      </c>
      <c r="L79" s="38" t="s">
        <v>254</v>
      </c>
      <c r="M79" s="23"/>
    </row>
    <row r="80" spans="1:13" s="5" customFormat="1" x14ac:dyDescent="0.2">
      <c r="A80" s="30" t="s">
        <v>64</v>
      </c>
      <c r="B80" s="31" t="s">
        <v>93</v>
      </c>
      <c r="C80" s="31" t="s">
        <v>160</v>
      </c>
      <c r="D80" s="31" t="s">
        <v>195</v>
      </c>
      <c r="E80" s="32" t="s">
        <v>216</v>
      </c>
      <c r="F80" s="30">
        <v>468.36500000000001</v>
      </c>
      <c r="G80" s="30">
        <v>1196.8499999999999</v>
      </c>
      <c r="H80" s="30">
        <v>11.896000000000001</v>
      </c>
      <c r="I80" s="30">
        <v>30.4</v>
      </c>
      <c r="J80" s="30" t="s">
        <v>224</v>
      </c>
      <c r="K80" s="30">
        <v>180</v>
      </c>
      <c r="L80" s="38" t="s">
        <v>256</v>
      </c>
      <c r="M80" s="23"/>
    </row>
    <row r="81" spans="1:13" s="5" customFormat="1" x14ac:dyDescent="0.2">
      <c r="A81" s="30" t="s">
        <v>64</v>
      </c>
      <c r="B81" s="31" t="s">
        <v>93</v>
      </c>
      <c r="C81" s="31" t="s">
        <v>161</v>
      </c>
      <c r="D81" s="31" t="s">
        <v>195</v>
      </c>
      <c r="E81" s="33" t="s">
        <v>216</v>
      </c>
      <c r="F81" s="30">
        <v>708.66099999999994</v>
      </c>
      <c r="G81" s="30">
        <v>1196.8499999999999</v>
      </c>
      <c r="H81" s="30">
        <v>18</v>
      </c>
      <c r="I81" s="30">
        <v>30.4</v>
      </c>
      <c r="J81" s="30" t="s">
        <v>224</v>
      </c>
      <c r="K81" s="30">
        <v>180</v>
      </c>
      <c r="L81" s="38" t="s">
        <v>256</v>
      </c>
      <c r="M81" s="23"/>
    </row>
    <row r="82" spans="1:13" s="5" customFormat="1" x14ac:dyDescent="0.2">
      <c r="A82" s="30" t="s">
        <v>65</v>
      </c>
      <c r="B82" s="31" t="s">
        <v>94</v>
      </c>
      <c r="C82" s="31" t="s">
        <v>162</v>
      </c>
      <c r="D82" s="31" t="s">
        <v>196</v>
      </c>
      <c r="E82" s="32" t="s">
        <v>217</v>
      </c>
      <c r="F82" s="30">
        <v>761.96900000000005</v>
      </c>
      <c r="G82" s="30">
        <v>313.976</v>
      </c>
      <c r="H82" s="30">
        <v>19.353999999999999</v>
      </c>
      <c r="I82" s="30">
        <v>7.9749999999999996</v>
      </c>
      <c r="J82" s="30" t="s">
        <v>224</v>
      </c>
      <c r="K82" s="30">
        <v>0</v>
      </c>
      <c r="L82" s="38" t="s">
        <v>257</v>
      </c>
      <c r="M82" s="23"/>
    </row>
    <row r="83" spans="1:13" s="5" customFormat="1" x14ac:dyDescent="0.2">
      <c r="A83" s="30"/>
      <c r="B83" s="31"/>
      <c r="C83" s="31" t="s">
        <v>163</v>
      </c>
      <c r="D83" s="31" t="s">
        <v>197</v>
      </c>
      <c r="E83" s="33" t="s">
        <v>218</v>
      </c>
      <c r="F83" s="30">
        <v>444.80599999999998</v>
      </c>
      <c r="G83" s="30">
        <v>753.68299999999999</v>
      </c>
      <c r="H83" s="30">
        <v>11.298</v>
      </c>
      <c r="I83" s="30">
        <v>19.143999999999998</v>
      </c>
      <c r="J83" s="30" t="s">
        <v>224</v>
      </c>
      <c r="K83" s="30">
        <v>0</v>
      </c>
      <c r="L83" s="38"/>
      <c r="M83" s="23"/>
    </row>
    <row r="84" spans="1:13" x14ac:dyDescent="0.2">
      <c r="A84" s="18"/>
      <c r="B84" s="19"/>
      <c r="C84" s="19"/>
      <c r="D84" s="19"/>
      <c r="E84" s="28"/>
      <c r="F84" s="20"/>
      <c r="G84" s="64"/>
      <c r="H84" s="64"/>
      <c r="I84" s="64"/>
      <c r="J84" s="64"/>
      <c r="K84" s="20"/>
      <c r="L84" s="38"/>
      <c r="M84" s="24"/>
    </row>
    <row r="85" spans="1:13" x14ac:dyDescent="0.2">
      <c r="G85" s="65"/>
      <c r="H85" s="65"/>
      <c r="I85" s="65"/>
      <c r="J85" s="65"/>
      <c r="K85" s="65"/>
    </row>
  </sheetData>
  <sortState xmlns:xlrd2="http://schemas.microsoft.com/office/spreadsheetml/2017/richdata2" ref="A15:L15">
    <sortCondition ref="L15"/>
    <sortCondition ref="A15"/>
    <sortCondition ref="B15"/>
  </sortState>
  <mergeCells count="19">
    <mergeCell ref="E3:F3"/>
    <mergeCell ref="E4:F4"/>
    <mergeCell ref="E5:F5"/>
    <mergeCell ref="A8:C8"/>
    <mergeCell ref="A9:C9"/>
    <mergeCell ref="A10:C10"/>
    <mergeCell ref="J3:K3"/>
    <mergeCell ref="J4:K4"/>
    <mergeCell ref="J5:K5"/>
    <mergeCell ref="A1:D3"/>
    <mergeCell ref="A4:D4"/>
    <mergeCell ref="A5:D5"/>
    <mergeCell ref="J1:K2"/>
    <mergeCell ref="G1:I2"/>
    <mergeCell ref="G3:I3"/>
    <mergeCell ref="G4:I4"/>
    <mergeCell ref="G5:I5"/>
    <mergeCell ref="E1:F1"/>
    <mergeCell ref="E2:F2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37" fitToHeight="0" orientation="portrait" horizontalDpi="200" verticalDpi="200" r:id="rId1"/>
  <headerFooter alignWithMargins="0">
    <oddFooter>&amp;L&amp;"Arial,Tučné"Regional Innovation Centre for Electrical Engineering&amp;CPick and Place&amp;RPage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2"/>
  <dimension ref="A1:C29"/>
  <sheetViews>
    <sheetView workbookViewId="0">
      <selection activeCell="B21" sqref="B21"/>
    </sheetView>
  </sheetViews>
  <sheetFormatPr defaultRowHeight="12.75" x14ac:dyDescent="0.2"/>
  <cols>
    <col min="1" max="1" width="30.28515625" style="7" customWidth="1"/>
    <col min="2" max="2" width="108.5703125" style="7" customWidth="1"/>
  </cols>
  <sheetData>
    <row r="1" spans="1:2" s="9" customFormat="1" ht="17.25" customHeight="1" x14ac:dyDescent="0.2">
      <c r="A1" s="8" t="s">
        <v>1</v>
      </c>
      <c r="B1" s="93" t="s">
        <v>258</v>
      </c>
    </row>
    <row r="2" spans="1:2" s="9" customFormat="1" ht="17.25" customHeight="1" x14ac:dyDescent="0.2">
      <c r="A2" s="10" t="s">
        <v>3</v>
      </c>
      <c r="B2" s="94" t="s">
        <v>259</v>
      </c>
    </row>
    <row r="3" spans="1:2" s="9" customFormat="1" ht="17.25" customHeight="1" x14ac:dyDescent="0.2">
      <c r="A3" s="11" t="s">
        <v>2</v>
      </c>
      <c r="B3" s="95" t="s">
        <v>260</v>
      </c>
    </row>
    <row r="4" spans="1:2" s="9" customFormat="1" ht="17.25" customHeight="1" x14ac:dyDescent="0.2">
      <c r="A4" s="10" t="s">
        <v>4</v>
      </c>
      <c r="B4" s="94" t="s">
        <v>259</v>
      </c>
    </row>
    <row r="5" spans="1:2" s="9" customFormat="1" ht="17.25" customHeight="1" x14ac:dyDescent="0.2">
      <c r="A5" s="11" t="s">
        <v>5</v>
      </c>
      <c r="B5" s="96" t="s">
        <v>258</v>
      </c>
    </row>
    <row r="6" spans="1:2" s="9" customFormat="1" ht="17.25" customHeight="1" x14ac:dyDescent="0.2">
      <c r="A6" s="10" t="s">
        <v>0</v>
      </c>
      <c r="B6" s="94" t="s">
        <v>261</v>
      </c>
    </row>
    <row r="7" spans="1:2" s="9" customFormat="1" ht="17.25" customHeight="1" x14ac:dyDescent="0.2">
      <c r="A7" s="11" t="s">
        <v>6</v>
      </c>
      <c r="B7" s="96" t="s">
        <v>262</v>
      </c>
    </row>
    <row r="8" spans="1:2" s="9" customFormat="1" ht="17.25" customHeight="1" x14ac:dyDescent="0.2">
      <c r="A8" s="10" t="s">
        <v>7</v>
      </c>
      <c r="B8" s="94" t="s">
        <v>263</v>
      </c>
    </row>
    <row r="9" spans="1:2" s="9" customFormat="1" ht="17.25" customHeight="1" x14ac:dyDescent="0.2">
      <c r="A9" s="11" t="s">
        <v>8</v>
      </c>
      <c r="B9" s="96" t="s">
        <v>264</v>
      </c>
    </row>
    <row r="10" spans="1:2" s="9" customFormat="1" ht="17.25" customHeight="1" x14ac:dyDescent="0.2">
      <c r="A10" s="10" t="s">
        <v>10</v>
      </c>
      <c r="B10" s="94" t="s">
        <v>265</v>
      </c>
    </row>
    <row r="11" spans="1:2" s="9" customFormat="1" ht="17.25" customHeight="1" x14ac:dyDescent="0.2">
      <c r="A11" s="11" t="s">
        <v>9</v>
      </c>
      <c r="B11" s="96" t="s">
        <v>31</v>
      </c>
    </row>
    <row r="12" spans="1:2" s="9" customFormat="1" ht="17.25" customHeight="1" x14ac:dyDescent="0.2">
      <c r="A12" s="10" t="s">
        <v>11</v>
      </c>
      <c r="B12" s="94" t="s">
        <v>266</v>
      </c>
    </row>
    <row r="13" spans="1:2" s="9" customFormat="1" ht="17.25" customHeight="1" x14ac:dyDescent="0.2">
      <c r="A13" s="11" t="s">
        <v>12</v>
      </c>
      <c r="B13" s="96" t="s">
        <v>267</v>
      </c>
    </row>
    <row r="14" spans="1:2" s="9" customFormat="1" ht="17.25" customHeight="1" thickBot="1" x14ac:dyDescent="0.25">
      <c r="A14" s="12" t="s">
        <v>13</v>
      </c>
      <c r="B14" s="97" t="s">
        <v>268</v>
      </c>
    </row>
    <row r="15" spans="1:2" x14ac:dyDescent="0.2">
      <c r="A15" s="11" t="s">
        <v>14</v>
      </c>
      <c r="B15" s="96" t="s">
        <v>269</v>
      </c>
    </row>
    <row r="16" spans="1:2" x14ac:dyDescent="0.2">
      <c r="A16" s="10" t="s">
        <v>15</v>
      </c>
      <c r="B16" s="98" t="s">
        <v>270</v>
      </c>
    </row>
    <row r="17" spans="1:3" x14ac:dyDescent="0.2">
      <c r="A17" s="10" t="s">
        <v>25</v>
      </c>
      <c r="B17" s="98" t="s">
        <v>271</v>
      </c>
    </row>
    <row r="18" spans="1:3" x14ac:dyDescent="0.2">
      <c r="A18" s="10" t="s">
        <v>26</v>
      </c>
      <c r="B18" s="98" t="s">
        <v>272</v>
      </c>
    </row>
    <row r="19" spans="1:3" x14ac:dyDescent="0.2">
      <c r="A19" s="11" t="s">
        <v>16</v>
      </c>
      <c r="B19" s="95" t="s">
        <v>270</v>
      </c>
    </row>
    <row r="20" spans="1:3" x14ac:dyDescent="0.2">
      <c r="A20" s="10" t="s">
        <v>17</v>
      </c>
      <c r="B20" s="98" t="s">
        <v>270</v>
      </c>
    </row>
    <row r="21" spans="1:3" x14ac:dyDescent="0.2">
      <c r="A21" s="11" t="s">
        <v>18</v>
      </c>
      <c r="B21" s="95" t="s">
        <v>270</v>
      </c>
    </row>
    <row r="22" spans="1:3" x14ac:dyDescent="0.2">
      <c r="A22" s="10" t="s">
        <v>19</v>
      </c>
      <c r="B22" s="94" t="s">
        <v>273</v>
      </c>
    </row>
    <row r="23" spans="1:3" x14ac:dyDescent="0.2">
      <c r="A23" s="11" t="s">
        <v>20</v>
      </c>
      <c r="B23" s="96" t="s">
        <v>273</v>
      </c>
    </row>
    <row r="24" spans="1:3" x14ac:dyDescent="0.2">
      <c r="A24" s="10" t="s">
        <v>21</v>
      </c>
      <c r="B24" s="94" t="s">
        <v>274</v>
      </c>
    </row>
    <row r="25" spans="1:3" x14ac:dyDescent="0.2">
      <c r="A25" s="11" t="s">
        <v>22</v>
      </c>
      <c r="B25" s="96" t="s">
        <v>273</v>
      </c>
    </row>
    <row r="26" spans="1:3" x14ac:dyDescent="0.2">
      <c r="A26" s="44" t="s">
        <v>27</v>
      </c>
      <c r="B26" s="99" t="s">
        <v>264</v>
      </c>
      <c r="C26" s="13"/>
    </row>
    <row r="27" spans="1:3" x14ac:dyDescent="0.2">
      <c r="A27" s="44" t="s">
        <v>28</v>
      </c>
      <c r="B27" s="99" t="s">
        <v>263</v>
      </c>
    </row>
    <row r="28" spans="1:3" x14ac:dyDescent="0.2">
      <c r="A28" s="44" t="s">
        <v>24</v>
      </c>
      <c r="B28" s="100" t="s">
        <v>261</v>
      </c>
    </row>
    <row r="29" spans="1:3" x14ac:dyDescent="0.2">
      <c r="A29" s="7" t="s">
        <v>32</v>
      </c>
      <c r="B29" s="101" t="s">
        <v>275</v>
      </c>
    </row>
  </sheetData>
  <phoneticPr fontId="0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BOM Report</vt:lpstr>
      <vt:lpstr>Project Information</vt:lpstr>
      <vt:lpstr>'BOM Report'!Print_Area</vt:lpstr>
      <vt:lpstr>'BOM Report'!Print_Titles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RICE01</dc:creator>
  <cp:lastModifiedBy>cenge</cp:lastModifiedBy>
  <cp:lastPrinted>2013-10-15T11:23:22Z</cp:lastPrinted>
  <dcterms:created xsi:type="dcterms:W3CDTF">2000-10-27T00:30:29Z</dcterms:created>
  <dcterms:modified xsi:type="dcterms:W3CDTF">2021-05-28T06:47:27Z</dcterms:modified>
</cp:coreProperties>
</file>